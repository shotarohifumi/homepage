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iyam\ネビット Dropbox\総務(★入退室表含む)\★開示情報\社内開示\90 勤務時間報告書\"/>
    </mc:Choice>
  </mc:AlternateContent>
  <xr:revisionPtr revIDLastSave="0" documentId="13_ncr:1_{C588A2B2-B99C-434D-9A84-74B226269F7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お名前" sheetId="1" r:id="rId1"/>
    <sheet name="祝日2018" sheetId="2" state="hidden" r:id="rId2"/>
    <sheet name="休憩時間" sheetId="3" r:id="rId3"/>
    <sheet name="プロジェクト番号" sheetId="4" r:id="rId4"/>
    <sheet name="作業コード" sheetId="5" r:id="rId5"/>
    <sheet name="改訂履歴" sheetId="6" r:id="rId6"/>
    <sheet name="祝日" sheetId="7" r:id="rId7"/>
  </sheets>
  <functionGroups builtInGroupCount="19"/>
  <definedNames>
    <definedName name="_xlnm.Print_Area" localSheetId="0">お名前!$A$1:$AK$35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4" i="1" l="1"/>
  <c r="Z2" i="1"/>
  <c r="Z3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P2" i="1"/>
  <c r="U3" i="1" s="1"/>
  <c r="B6" i="1"/>
  <c r="AJ8" i="1"/>
  <c r="P3" i="1" s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 l="1"/>
  <c r="P4" i="1"/>
  <c r="U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kushida</author>
    <author>N.Kimura</author>
    <author>朴 恩愛</author>
  </authors>
  <commentList>
    <comment ref="A3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元日</t>
        </r>
      </text>
    </comment>
    <comment ref="B3" authorId="1" shapeId="0" xr:uid="{00000000-0006-0000-0100-000002000000}">
      <text>
        <r>
          <rPr>
            <sz val="9"/>
            <color indexed="81"/>
            <rFont val="ＭＳ Ｐゴシック"/>
            <family val="3"/>
            <charset val="128"/>
          </rPr>
          <t>会社規定休み</t>
        </r>
      </text>
    </comment>
    <comment ref="C3" authorId="1" shapeId="0" xr:uid="{00000000-0006-0000-0100-000003000000}">
      <text>
        <r>
          <rPr>
            <sz val="9"/>
            <color indexed="81"/>
            <rFont val="ＭＳ Ｐゴシック"/>
            <family val="3"/>
            <charset val="128"/>
          </rPr>
          <t>会社規定休日</t>
        </r>
      </text>
    </comment>
    <comment ref="D3" authorId="1" shapeId="0" xr:uid="{00000000-0006-0000-0100-000004000000}">
      <text>
        <r>
          <rPr>
            <sz val="9"/>
            <color indexed="81"/>
            <rFont val="ＭＳ Ｐゴシック"/>
            <family val="3"/>
            <charset val="128"/>
          </rPr>
          <t xml:space="preserve">会社規定休日
</t>
        </r>
      </text>
    </comment>
    <comment ref="E3" authorId="2" shapeId="0" xr:uid="{00000000-0006-0000-0100-000005000000}">
      <text>
        <r>
          <rPr>
            <sz val="9"/>
            <color indexed="81"/>
            <rFont val="ＭＳ Ｐゴシック"/>
            <family val="3"/>
            <charset val="128"/>
          </rPr>
          <t xml:space="preserve">成人の日
</t>
        </r>
      </text>
    </comment>
    <comment ref="A4" authorId="0" shapeId="0" xr:uid="{00000000-0006-0000-0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振替休日</t>
        </r>
      </text>
    </comment>
    <comment ref="A5" authorId="0" shapeId="0" xr:uid="{00000000-0006-0000-0100-000007000000}">
      <text>
        <r>
          <rPr>
            <b/>
            <sz val="9"/>
            <color indexed="81"/>
            <rFont val="ＭＳ Ｐゴシック"/>
            <family val="3"/>
            <charset val="128"/>
          </rPr>
          <t>春分の日</t>
        </r>
      </text>
    </comment>
    <comment ref="A6" authorId="0" shapeId="0" xr:uid="{00000000-0006-0000-0100-000008000000}">
      <text>
        <r>
          <rPr>
            <sz val="9"/>
            <color indexed="81"/>
            <rFont val="ＭＳ Ｐゴシック"/>
            <family val="3"/>
            <charset val="128"/>
          </rPr>
          <t xml:space="preserve">振替休日
</t>
        </r>
      </text>
    </comment>
    <comment ref="A7" authorId="0" shapeId="0" xr:uid="{00000000-0006-0000-0100-000009000000}">
      <text>
        <r>
          <rPr>
            <b/>
            <sz val="9"/>
            <color indexed="81"/>
            <rFont val="ＭＳ Ｐゴシック"/>
            <family val="3"/>
            <charset val="128"/>
          </rPr>
          <t>憲法記念日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7" authorId="0" shapeId="0" xr:uid="{00000000-0006-0000-0100-00000A000000}">
      <text>
        <r>
          <rPr>
            <sz val="9"/>
            <color indexed="81"/>
            <rFont val="ＭＳ Ｐゴシック"/>
            <family val="3"/>
            <charset val="128"/>
          </rPr>
          <t xml:space="preserve">みどりの日
</t>
        </r>
      </text>
    </comment>
    <comment ref="A9" authorId="0" shapeId="0" xr:uid="{00000000-0006-0000-0100-00000B000000}">
      <text>
        <r>
          <rPr>
            <b/>
            <sz val="9"/>
            <color indexed="81"/>
            <rFont val="ＭＳ Ｐゴシック"/>
            <family val="3"/>
            <charset val="128"/>
          </rPr>
          <t>海の日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11" authorId="0" shapeId="0" xr:uid="{00000000-0006-0000-0100-00000C000000}">
      <text>
        <r>
          <rPr>
            <b/>
            <sz val="9"/>
            <color indexed="81"/>
            <rFont val="ＭＳ Ｐゴシック"/>
            <family val="3"/>
            <charset val="128"/>
          </rPr>
          <t>敬老の日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11" authorId="0" shapeId="0" xr:uid="{00000000-0006-0000-0100-00000D000000}">
      <text>
        <r>
          <rPr>
            <b/>
            <sz val="9"/>
            <color indexed="81"/>
            <rFont val="ＭＳ Ｐゴシック"/>
            <family val="3"/>
            <charset val="128"/>
          </rPr>
          <t>振替休日</t>
        </r>
      </text>
    </comment>
    <comment ref="A12" authorId="1" shapeId="0" xr:uid="{00000000-0006-0000-0100-00000E000000}">
      <text>
        <r>
          <rPr>
            <sz val="9"/>
            <color indexed="81"/>
            <rFont val="ＭＳ Ｐゴシック"/>
            <family val="3"/>
            <charset val="128"/>
          </rPr>
          <t xml:space="preserve">体育の日
</t>
        </r>
      </text>
    </comment>
    <comment ref="A13" authorId="2" shapeId="0" xr:uid="{00000000-0006-0000-0100-00000F000000}">
      <text>
        <r>
          <rPr>
            <sz val="9"/>
            <color indexed="81"/>
            <rFont val="ＭＳ Ｐゴシック"/>
            <family val="3"/>
            <charset val="128"/>
          </rPr>
          <t xml:space="preserve">勤労感謝の日
</t>
        </r>
      </text>
    </comment>
    <comment ref="A14" authorId="0" shapeId="0" xr:uid="{00000000-0006-0000-0100-000010000000}">
      <text>
        <r>
          <rPr>
            <b/>
            <sz val="9"/>
            <color indexed="81"/>
            <rFont val="ＭＳ Ｐゴシック"/>
            <family val="3"/>
            <charset val="128"/>
          </rPr>
          <t>振替休日</t>
        </r>
      </text>
    </comment>
    <comment ref="B14" authorId="2" shapeId="0" xr:uid="{00000000-0006-0000-0100-000011000000}">
      <text>
        <r>
          <rPr>
            <sz val="9"/>
            <color indexed="81"/>
            <rFont val="ＭＳ Ｐゴシック"/>
            <family val="3"/>
            <charset val="128"/>
          </rPr>
          <t xml:space="preserve">会社規定休日
</t>
        </r>
      </text>
    </comment>
  </commentList>
</comments>
</file>

<file path=xl/sharedStrings.xml><?xml version="1.0" encoding="utf-8"?>
<sst xmlns="http://schemas.openxmlformats.org/spreadsheetml/2006/main" count="181" uniqueCount="134">
  <si>
    <t>勤務時間報告書</t>
    <rPh sb="0" eb="2">
      <t>キンム</t>
    </rPh>
    <rPh sb="2" eb="4">
      <t>ジカン</t>
    </rPh>
    <rPh sb="4" eb="7">
      <t>ホウコクショ</t>
    </rPh>
    <phoneticPr fontId="3"/>
  </si>
  <si>
    <t>年</t>
    <rPh sb="0" eb="1">
      <t>ネン</t>
    </rPh>
    <phoneticPr fontId="3"/>
  </si>
  <si>
    <t>月</t>
    <rPh sb="0" eb="1">
      <t>ツキ</t>
    </rPh>
    <phoneticPr fontId="3"/>
  </si>
  <si>
    <t>承 認</t>
    <rPh sb="0" eb="1">
      <t>ウケタマワ</t>
    </rPh>
    <rPh sb="2" eb="3">
      <t>ニン</t>
    </rPh>
    <phoneticPr fontId="3"/>
  </si>
  <si>
    <t>審 査</t>
    <phoneticPr fontId="3"/>
  </si>
  <si>
    <t>本 人</t>
    <rPh sb="0" eb="1">
      <t>ホン</t>
    </rPh>
    <rPh sb="2" eb="3">
      <t>ヒト</t>
    </rPh>
    <phoneticPr fontId="3"/>
  </si>
  <si>
    <t>基準日数</t>
    <rPh sb="0" eb="2">
      <t>キジュン</t>
    </rPh>
    <rPh sb="2" eb="4">
      <t>ニッスウ</t>
    </rPh>
    <phoneticPr fontId="3"/>
  </si>
  <si>
    <t>休  日</t>
    <phoneticPr fontId="3"/>
  </si>
  <si>
    <t>社員番号</t>
    <rPh sb="0" eb="2">
      <t>シャイン</t>
    </rPh>
    <rPh sb="2" eb="4">
      <t>バンゴウ</t>
    </rPh>
    <phoneticPr fontId="3"/>
  </si>
  <si>
    <t>所  属</t>
    <rPh sb="0" eb="1">
      <t>トコロ</t>
    </rPh>
    <rPh sb="3" eb="4">
      <t>ゾク</t>
    </rPh>
    <phoneticPr fontId="3"/>
  </si>
  <si>
    <t>総 時 間</t>
    <rPh sb="0" eb="1">
      <t>ソウ</t>
    </rPh>
    <rPh sb="2" eb="3">
      <t>トキ</t>
    </rPh>
    <rPh sb="4" eb="5">
      <t>アイダ</t>
    </rPh>
    <phoneticPr fontId="3"/>
  </si>
  <si>
    <t>基準時間</t>
    <rPh sb="0" eb="2">
      <t>キジュン</t>
    </rPh>
    <rPh sb="2" eb="4">
      <t>ジカン</t>
    </rPh>
    <phoneticPr fontId="3"/>
  </si>
  <si>
    <t>法定休日</t>
    <phoneticPr fontId="3"/>
  </si>
  <si>
    <r>
      <t>職  位</t>
    </r>
    <r>
      <rPr>
        <vertAlign val="superscript"/>
        <sz val="10"/>
        <rFont val="ＭＳ ゴシック"/>
        <family val="3"/>
        <charset val="128"/>
      </rPr>
      <t>※</t>
    </r>
    <rPh sb="0" eb="1">
      <t>ショク</t>
    </rPh>
    <rPh sb="3" eb="4">
      <t>クライ</t>
    </rPh>
    <phoneticPr fontId="3"/>
  </si>
  <si>
    <t>氏  名</t>
    <rPh sb="0" eb="1">
      <t>シ</t>
    </rPh>
    <rPh sb="3" eb="4">
      <t>メイ</t>
    </rPh>
    <phoneticPr fontId="3"/>
  </si>
  <si>
    <t>非 稼 働</t>
    <rPh sb="0" eb="1">
      <t>ヒ</t>
    </rPh>
    <rPh sb="2" eb="3">
      <t>カセ</t>
    </rPh>
    <rPh sb="4" eb="5">
      <t>ドウ</t>
    </rPh>
    <phoneticPr fontId="3"/>
  </si>
  <si>
    <t>超過時間</t>
    <rPh sb="0" eb="2">
      <t>チョウカ</t>
    </rPh>
    <rPh sb="2" eb="4">
      <t>ジカン</t>
    </rPh>
    <phoneticPr fontId="3"/>
  </si>
  <si>
    <t>深夜時間</t>
    <rPh sb="0" eb="2">
      <t>シンヤ</t>
    </rPh>
    <rPh sb="2" eb="4">
      <t>ジカン</t>
    </rPh>
    <phoneticPr fontId="3"/>
  </si>
  <si>
    <t>合計</t>
    <rPh sb="0" eb="2">
      <t>ゴウケイ</t>
    </rPh>
    <phoneticPr fontId="3"/>
  </si>
  <si>
    <t>出社時刻</t>
    <rPh sb="0" eb="2">
      <t>シュッシャ</t>
    </rPh>
    <rPh sb="2" eb="4">
      <t>ジコク</t>
    </rPh>
    <phoneticPr fontId="3"/>
  </si>
  <si>
    <t>退社時刻</t>
    <rPh sb="0" eb="2">
      <t>タイシャ</t>
    </rPh>
    <rPh sb="2" eb="4">
      <t>ジコク</t>
    </rPh>
    <phoneticPr fontId="3"/>
  </si>
  <si>
    <t>勤務時間</t>
    <rPh sb="0" eb="2">
      <t>キンム</t>
    </rPh>
    <rPh sb="2" eb="4">
      <t>ジカン</t>
    </rPh>
    <phoneticPr fontId="3"/>
  </si>
  <si>
    <t>非稼働</t>
    <rPh sb="0" eb="1">
      <t>ヒ</t>
    </rPh>
    <rPh sb="1" eb="3">
      <t>カドウ</t>
    </rPh>
    <phoneticPr fontId="3"/>
  </si>
  <si>
    <t>年休</t>
    <rPh sb="0" eb="1">
      <t>トシ</t>
    </rPh>
    <rPh sb="1" eb="2">
      <t>キュウ</t>
    </rPh>
    <phoneticPr fontId="3"/>
  </si>
  <si>
    <t>特別休暇</t>
    <rPh sb="0" eb="2">
      <t>トクベツ</t>
    </rPh>
    <rPh sb="2" eb="4">
      <t>キュウカ</t>
    </rPh>
    <phoneticPr fontId="3"/>
  </si>
  <si>
    <t>社内作業・他</t>
    <phoneticPr fontId="3"/>
  </si>
  <si>
    <t>社内教育</t>
    <rPh sb="2" eb="4">
      <t>キョウイク</t>
    </rPh>
    <phoneticPr fontId="3"/>
  </si>
  <si>
    <t>社外セミナー</t>
    <rPh sb="0" eb="2">
      <t>シャガイ</t>
    </rPh>
    <phoneticPr fontId="3"/>
  </si>
  <si>
    <t>不 働</t>
    <rPh sb="0" eb="1">
      <t>フ</t>
    </rPh>
    <rPh sb="2" eb="3">
      <t>ドウ</t>
    </rPh>
    <phoneticPr fontId="3"/>
  </si>
  <si>
    <t>振替</t>
    <rPh sb="0" eb="2">
      <t>フリカエ</t>
    </rPh>
    <phoneticPr fontId="3"/>
  </si>
  <si>
    <t>外出・休憩</t>
    <rPh sb="0" eb="2">
      <t>ガイシュツ</t>
    </rPh>
    <rPh sb="3" eb="5">
      <t>キュウケイ</t>
    </rPh>
    <phoneticPr fontId="3"/>
  </si>
  <si>
    <t>欠勤</t>
    <rPh sb="0" eb="2">
      <t>ケッキン</t>
    </rPh>
    <phoneticPr fontId="3"/>
  </si>
  <si>
    <t>遅刻・他</t>
    <rPh sb="0" eb="2">
      <t>チコク</t>
    </rPh>
    <rPh sb="3" eb="4">
      <t>ホカ</t>
    </rPh>
    <phoneticPr fontId="3"/>
  </si>
  <si>
    <t>※</t>
    <phoneticPr fontId="3"/>
  </si>
  <si>
    <t>職位は、PM:プロジェクトマネージャ、 PL:プロジェクトリーダ、 CE:チーフエンジニア、 SP、SEの略記とし、以外は職名を記入する。</t>
    <rPh sb="0" eb="2">
      <t>ショクイ</t>
    </rPh>
    <rPh sb="53" eb="55">
      <t>リャッキ</t>
    </rPh>
    <rPh sb="58" eb="60">
      <t>イガイ</t>
    </rPh>
    <rPh sb="61" eb="63">
      <t>ショクメイ</t>
    </rPh>
    <rPh sb="64" eb="66">
      <t>キニュウ</t>
    </rPh>
    <phoneticPr fontId="3"/>
  </si>
  <si>
    <t>メモ（上記内容について説明が必要であれば、ここに記入してください。）</t>
    <rPh sb="3" eb="5">
      <t>ジョウキ</t>
    </rPh>
    <rPh sb="5" eb="7">
      <t>ナイヨウ</t>
    </rPh>
    <rPh sb="11" eb="13">
      <t>セツメイ</t>
    </rPh>
    <rPh sb="14" eb="16">
      <t>ヒツヨウ</t>
    </rPh>
    <rPh sb="24" eb="26">
      <t>キニュウ</t>
    </rPh>
    <phoneticPr fontId="3"/>
  </si>
  <si>
    <t>祝日一覧（土日を除く。年末年始を含みます）</t>
    <rPh sb="0" eb="2">
      <t>シュクジツ</t>
    </rPh>
    <rPh sb="2" eb="4">
      <t>イチラン</t>
    </rPh>
    <rPh sb="5" eb="7">
      <t>ドニチ</t>
    </rPh>
    <rPh sb="8" eb="9">
      <t>ノゾ</t>
    </rPh>
    <rPh sb="11" eb="13">
      <t>ネンマツ</t>
    </rPh>
    <rPh sb="13" eb="15">
      <t>ネンシ</t>
    </rPh>
    <rPh sb="16" eb="17">
      <t>フク</t>
    </rPh>
    <phoneticPr fontId="3"/>
  </si>
  <si>
    <t>対象年月</t>
    <rPh sb="0" eb="2">
      <t>タイショウ</t>
    </rPh>
    <rPh sb="2" eb="4">
      <t>ネンゲツ</t>
    </rPh>
    <phoneticPr fontId="3"/>
  </si>
  <si>
    <t>休憩開始時間</t>
    <rPh sb="0" eb="2">
      <t>キュウケイ</t>
    </rPh>
    <rPh sb="2" eb="4">
      <t>カイシ</t>
    </rPh>
    <rPh sb="4" eb="6">
      <t>ジカン</t>
    </rPh>
    <phoneticPr fontId="3"/>
  </si>
  <si>
    <t>休憩終了時間</t>
    <rPh sb="0" eb="2">
      <t>キュウケイ</t>
    </rPh>
    <rPh sb="2" eb="4">
      <t>シュウリョウ</t>
    </rPh>
    <rPh sb="4" eb="6">
      <t>ジカン</t>
    </rPh>
    <phoneticPr fontId="3"/>
  </si>
  <si>
    <t>No</t>
  </si>
  <si>
    <t>プロジェクト番号</t>
  </si>
  <si>
    <t>プロジェクト内容</t>
  </si>
  <si>
    <t>No</t>
    <phoneticPr fontId="3"/>
  </si>
  <si>
    <t>作業ｺｰﾄﾞ</t>
    <rPh sb="0" eb="2">
      <t>サギョウ</t>
    </rPh>
    <phoneticPr fontId="3"/>
  </si>
  <si>
    <t>作業内容</t>
    <rPh sb="0" eb="2">
      <t>サギョウ</t>
    </rPh>
    <rPh sb="2" eb="4">
      <t>ナイヨウ</t>
    </rPh>
    <phoneticPr fontId="3"/>
  </si>
  <si>
    <t>見積業務</t>
    <rPh sb="0" eb="2">
      <t>ミツモ</t>
    </rPh>
    <rPh sb="2" eb="4">
      <t>ギョウム</t>
    </rPh>
    <phoneticPr fontId="3"/>
  </si>
  <si>
    <t>顧客仕様打合</t>
    <phoneticPr fontId="3"/>
  </si>
  <si>
    <t>社内仕様打合</t>
    <rPh sb="0" eb="2">
      <t>シャナイ</t>
    </rPh>
    <rPh sb="2" eb="4">
      <t>シヨウ</t>
    </rPh>
    <rPh sb="4" eb="6">
      <t>ウチアワ</t>
    </rPh>
    <phoneticPr fontId="3"/>
  </si>
  <si>
    <t>ｼｽﾃﾑ提案書</t>
    <rPh sb="4" eb="7">
      <t>テイアンショ</t>
    </rPh>
    <phoneticPr fontId="3"/>
  </si>
  <si>
    <t>要件定義書</t>
    <rPh sb="0" eb="2">
      <t>ヨウケン</t>
    </rPh>
    <rPh sb="2" eb="5">
      <t>テイギショ</t>
    </rPh>
    <phoneticPr fontId="3"/>
  </si>
  <si>
    <t>その他定義書（ｼｽﾃﾑ分析）</t>
    <rPh sb="2" eb="3">
      <t>タ</t>
    </rPh>
    <rPh sb="3" eb="6">
      <t>テイギショ</t>
    </rPh>
    <rPh sb="11" eb="13">
      <t>ブンセキ</t>
    </rPh>
    <phoneticPr fontId="3"/>
  </si>
  <si>
    <t>基本設計書（機能設計、方式設計）</t>
    <rPh sb="0" eb="2">
      <t>キホン</t>
    </rPh>
    <rPh sb="2" eb="4">
      <t>セッケイ</t>
    </rPh>
    <rPh sb="4" eb="5">
      <t>ショ</t>
    </rPh>
    <rPh sb="6" eb="8">
      <t>キノウ</t>
    </rPh>
    <rPh sb="8" eb="10">
      <t>セッケイ</t>
    </rPh>
    <rPh sb="11" eb="13">
      <t>ホウシキ</t>
    </rPh>
    <rPh sb="13" eb="15">
      <t>セッケイ</t>
    </rPh>
    <phoneticPr fontId="3"/>
  </si>
  <si>
    <t>ﾃｰﾌﾞﾙ仕様書</t>
    <rPh sb="5" eb="7">
      <t>シヨウ</t>
    </rPh>
    <rPh sb="7" eb="8">
      <t>ショ</t>
    </rPh>
    <phoneticPr fontId="3"/>
  </si>
  <si>
    <t>ﾌｧｲﾙ仕様書(DB仕様)</t>
    <rPh sb="4" eb="6">
      <t>シヨウ</t>
    </rPh>
    <rPh sb="6" eb="7">
      <t>ショ</t>
    </rPh>
    <rPh sb="10" eb="12">
      <t>シヨウ</t>
    </rPh>
    <phoneticPr fontId="3"/>
  </si>
  <si>
    <t>その他設計書</t>
    <phoneticPr fontId="3"/>
  </si>
  <si>
    <t>詳細設計書(ﾌﾟﾛｸﾞﾗﾑ仕様)</t>
    <rPh sb="0" eb="2">
      <t>ショウサイ</t>
    </rPh>
    <rPh sb="2" eb="4">
      <t>セッケイ</t>
    </rPh>
    <rPh sb="4" eb="5">
      <t>ショ</t>
    </rPh>
    <rPh sb="13" eb="14">
      <t>）</t>
    </rPh>
    <phoneticPr fontId="3"/>
  </si>
  <si>
    <t>ﾓｼﾞｭｰﾙ(I/F)仕様書</t>
    <rPh sb="11" eb="13">
      <t>シヨウ</t>
    </rPh>
    <rPh sb="13" eb="14">
      <t>ショ</t>
    </rPh>
    <phoneticPr fontId="3"/>
  </si>
  <si>
    <t>処理仕様書</t>
    <rPh sb="0" eb="2">
      <t>ショリ</t>
    </rPh>
    <rPh sb="2" eb="5">
      <t>シヨウショ</t>
    </rPh>
    <phoneticPr fontId="3"/>
  </si>
  <si>
    <t>ﾌﾛｰﾁｬｰﾄ</t>
    <phoneticPr fontId="3"/>
  </si>
  <si>
    <t>単体ﾃｽﾄ仕様書</t>
    <rPh sb="0" eb="2">
      <t>タンタイ</t>
    </rPh>
    <rPh sb="5" eb="7">
      <t>シヨウ</t>
    </rPh>
    <rPh sb="7" eb="8">
      <t>ショ</t>
    </rPh>
    <phoneticPr fontId="3"/>
  </si>
  <si>
    <t>結合ﾃｽﾄ仕様書</t>
    <rPh sb="0" eb="2">
      <t>ケツゴウ</t>
    </rPh>
    <rPh sb="5" eb="7">
      <t>シヨウ</t>
    </rPh>
    <rPh sb="7" eb="8">
      <t>ショ</t>
    </rPh>
    <phoneticPr fontId="3"/>
  </si>
  <si>
    <t>ｼｽﾃﾑﾃｽﾄ仕様書(運用、総合ﾃｽﾄ仕様)</t>
    <rPh sb="7" eb="10">
      <t>シヨウショ</t>
    </rPh>
    <rPh sb="11" eb="13">
      <t>ウンヨウ</t>
    </rPh>
    <rPh sb="14" eb="16">
      <t>ソウゴウ</t>
    </rPh>
    <rPh sb="19" eb="21">
      <t>シヨウ</t>
    </rPh>
    <phoneticPr fontId="3"/>
  </si>
  <si>
    <t>取扱い説明書</t>
    <rPh sb="0" eb="2">
      <t>トリアツカ</t>
    </rPh>
    <rPh sb="3" eb="6">
      <t>セツメイショ</t>
    </rPh>
    <phoneticPr fontId="3"/>
  </si>
  <si>
    <t>ｲﾝｽﾄｰﾙ説明書</t>
    <rPh sb="6" eb="9">
      <t>セツメイショ</t>
    </rPh>
    <phoneticPr fontId="3"/>
  </si>
  <si>
    <t>その他説明書</t>
    <rPh sb="2" eb="3">
      <t>タ</t>
    </rPh>
    <rPh sb="3" eb="6">
      <t>セツメイショ</t>
    </rPh>
    <phoneticPr fontId="3"/>
  </si>
  <si>
    <t>ﾃﾞｻﾞｲﾝﾚﾋﾞｭｰ</t>
    <phoneticPr fontId="3"/>
  </si>
  <si>
    <t>ﾌﾟﾛｸﾞﾗﾐﾝｸﾞ(ｺｰﾃﾞﾞｨﾝｸﾞ)</t>
    <phoneticPr fontId="3"/>
  </si>
  <si>
    <t>ｺｰﾄﾞﾚﾋﾞｭｰ</t>
    <phoneticPr fontId="3"/>
  </si>
  <si>
    <t>単体ﾃｽﾄ</t>
    <rPh sb="0" eb="2">
      <t>タンタイ</t>
    </rPh>
    <phoneticPr fontId="3"/>
  </si>
  <si>
    <t>結合ﾃｽﾄ</t>
    <rPh sb="0" eb="2">
      <t>ケツゴウ</t>
    </rPh>
    <phoneticPr fontId="3"/>
  </si>
  <si>
    <t>ｼｽﾃﾑﾃｽﾄ</t>
    <phoneticPr fontId="3"/>
  </si>
  <si>
    <t>現地調整</t>
    <rPh sb="0" eb="2">
      <t>ゲンチ</t>
    </rPh>
    <rPh sb="2" eb="4">
      <t>チョウセイ</t>
    </rPh>
    <phoneticPr fontId="3"/>
  </si>
  <si>
    <t>不良対策(社内)</t>
    <rPh sb="0" eb="2">
      <t>フリョウ</t>
    </rPh>
    <rPh sb="2" eb="4">
      <t>タイサク</t>
    </rPh>
    <rPh sb="5" eb="7">
      <t>シャナイ</t>
    </rPh>
    <phoneticPr fontId="3"/>
  </si>
  <si>
    <t>不良対策(社外)</t>
    <rPh sb="0" eb="2">
      <t>フリョウ</t>
    </rPh>
    <rPh sb="2" eb="4">
      <t>タイサク</t>
    </rPh>
    <rPh sb="5" eb="7">
      <t>シャガイ</t>
    </rPh>
    <phoneticPr fontId="3"/>
  </si>
  <si>
    <t>保守作業(保守業務)</t>
    <rPh sb="0" eb="2">
      <t>ホシュ</t>
    </rPh>
    <rPh sb="2" eb="4">
      <t>サギョウ</t>
    </rPh>
    <rPh sb="5" eb="7">
      <t>ホシュ</t>
    </rPh>
    <rPh sb="7" eb="9">
      <t>ギョウム</t>
    </rPh>
    <phoneticPr fontId="3"/>
  </si>
  <si>
    <t>問合せ対応</t>
    <rPh sb="0" eb="2">
      <t>トイアワ</t>
    </rPh>
    <rPh sb="3" eb="5">
      <t>タイオウ</t>
    </rPh>
    <phoneticPr fontId="3"/>
  </si>
  <si>
    <t>契約業務</t>
    <rPh sb="0" eb="2">
      <t>ケイヤク</t>
    </rPh>
    <rPh sb="2" eb="4">
      <t>ギョウム</t>
    </rPh>
    <phoneticPr fontId="3"/>
  </si>
  <si>
    <t>検収業務</t>
    <rPh sb="0" eb="2">
      <t>ケンシュウ</t>
    </rPh>
    <rPh sb="2" eb="4">
      <t>ギョウム</t>
    </rPh>
    <phoneticPr fontId="3"/>
  </si>
  <si>
    <t>その他</t>
    <rPh sb="2" eb="3">
      <t>タ</t>
    </rPh>
    <phoneticPr fontId="3"/>
  </si>
  <si>
    <t>No</t>
    <phoneticPr fontId="3"/>
  </si>
  <si>
    <t>改訂内容概要</t>
    <rPh sb="0" eb="2">
      <t>カイテイ</t>
    </rPh>
    <rPh sb="2" eb="4">
      <t>ナイヨウ</t>
    </rPh>
    <rPh sb="4" eb="6">
      <t>ガイヨウ</t>
    </rPh>
    <phoneticPr fontId="3"/>
  </si>
  <si>
    <t>現バージョン</t>
    <rPh sb="0" eb="1">
      <t>ゲン</t>
    </rPh>
    <phoneticPr fontId="3"/>
  </si>
  <si>
    <t>201601.1</t>
    <phoneticPr fontId="3"/>
  </si>
  <si>
    <t>祝日に「8/11 山の日」を追加</t>
    <rPh sb="0" eb="2">
      <t>シュクジツ</t>
    </rPh>
    <rPh sb="9" eb="10">
      <t>ヤマ</t>
    </rPh>
    <rPh sb="11" eb="12">
      <t>ヒ</t>
    </rPh>
    <rPh sb="14" eb="16">
      <t>ツイカ</t>
    </rPh>
    <phoneticPr fontId="3"/>
  </si>
  <si>
    <t>改訂日付</t>
    <rPh sb="0" eb="2">
      <t>カイテイ</t>
    </rPh>
    <rPh sb="2" eb="4">
      <t>ヒヅケ</t>
    </rPh>
    <phoneticPr fontId="3"/>
  </si>
  <si>
    <t>祝日シートとマクロパスワード変更</t>
    <rPh sb="0" eb="2">
      <t>シュクジツ</t>
    </rPh>
    <rPh sb="14" eb="16">
      <t>ヘンコウ</t>
    </rPh>
    <phoneticPr fontId="3"/>
  </si>
  <si>
    <t>1</t>
    <phoneticPr fontId="3"/>
  </si>
  <si>
    <t>履歴シート追加</t>
    <rPh sb="0" eb="2">
      <t>リレキ</t>
    </rPh>
    <rPh sb="5" eb="7">
      <t>ツイカ</t>
    </rPh>
    <phoneticPr fontId="3"/>
  </si>
  <si>
    <t>変更したら必ず手順に従ってパスワードロックすること</t>
    <rPh sb="0" eb="2">
      <t>ヘンコウ</t>
    </rPh>
    <rPh sb="5" eb="6">
      <t>カナラ</t>
    </rPh>
    <rPh sb="7" eb="9">
      <t>テジュン</t>
    </rPh>
    <rPh sb="10" eb="11">
      <t>シタガ</t>
    </rPh>
    <phoneticPr fontId="3"/>
  </si>
  <si>
    <t/>
  </si>
  <si>
    <t>月／</t>
    <phoneticPr fontId="3"/>
  </si>
  <si>
    <t>日付</t>
    <phoneticPr fontId="3"/>
  </si>
  <si>
    <t>注意：時刻入力は24時間単位入力です。当日作業の時刻が日を跨ぐ場合は24:00からの継続時刻としてください。（例 日を跨いで1:00AMである場合は25:00）</t>
    <rPh sb="0" eb="2">
      <t>チュウイ</t>
    </rPh>
    <rPh sb="3" eb="5">
      <t>ジコク</t>
    </rPh>
    <rPh sb="5" eb="7">
      <t>ニュウリョク</t>
    </rPh>
    <rPh sb="10" eb="12">
      <t>ジカン</t>
    </rPh>
    <rPh sb="12" eb="14">
      <t>タンイ</t>
    </rPh>
    <rPh sb="14" eb="16">
      <t>ニュウリョク</t>
    </rPh>
    <rPh sb="19" eb="21">
      <t>トウジツ</t>
    </rPh>
    <rPh sb="21" eb="23">
      <t>サギョウ</t>
    </rPh>
    <rPh sb="24" eb="26">
      <t>ジコク</t>
    </rPh>
    <rPh sb="27" eb="28">
      <t>ヒ</t>
    </rPh>
    <rPh sb="29" eb="30">
      <t>マタ</t>
    </rPh>
    <rPh sb="31" eb="33">
      <t>バアイ</t>
    </rPh>
    <rPh sb="42" eb="44">
      <t>ケイゾク</t>
    </rPh>
    <rPh sb="44" eb="46">
      <t>ジコク</t>
    </rPh>
    <rPh sb="55" eb="56">
      <t>レイ</t>
    </rPh>
    <rPh sb="57" eb="58">
      <t>ヒ</t>
    </rPh>
    <rPh sb="59" eb="60">
      <t>マタ</t>
    </rPh>
    <rPh sb="71" eb="73">
      <t>バアイ</t>
    </rPh>
    <phoneticPr fontId="3"/>
  </si>
  <si>
    <t>定義内容を書き換えられると支障があるセルについて入力を防止</t>
    <rPh sb="0" eb="2">
      <t>テイギ</t>
    </rPh>
    <rPh sb="2" eb="4">
      <t>ナイヨウ</t>
    </rPh>
    <rPh sb="5" eb="6">
      <t>カ</t>
    </rPh>
    <rPh sb="7" eb="8">
      <t>カ</t>
    </rPh>
    <rPh sb="13" eb="15">
      <t>シショウ</t>
    </rPh>
    <rPh sb="24" eb="26">
      <t>ニュウリョク</t>
    </rPh>
    <rPh sb="27" eb="29">
      <t>ボウシ</t>
    </rPh>
    <phoneticPr fontId="3"/>
  </si>
  <si>
    <t>担当者</t>
    <rPh sb="0" eb="2">
      <t>タントウ</t>
    </rPh>
    <rPh sb="2" eb="3">
      <t>シャ</t>
    </rPh>
    <phoneticPr fontId="3"/>
  </si>
  <si>
    <t>木村</t>
    <rPh sb="0" eb="1">
      <t>キムラ</t>
    </rPh>
    <phoneticPr fontId="3"/>
  </si>
  <si>
    <t>2016/1/9</t>
    <phoneticPr fontId="3"/>
  </si>
  <si>
    <t>時刻入力を24時間入力に統一　（日を跨ぐ場合は24時からの継続時刻を入力）</t>
    <rPh sb="0" eb="2">
      <t>ジコク</t>
    </rPh>
    <rPh sb="2" eb="4">
      <t>ニュウリョク</t>
    </rPh>
    <rPh sb="7" eb="9">
      <t>ジカン</t>
    </rPh>
    <rPh sb="9" eb="11">
      <t>ニュウリョク</t>
    </rPh>
    <rPh sb="12" eb="14">
      <t>トウイツ</t>
    </rPh>
    <rPh sb="16" eb="17">
      <t>ヒ</t>
    </rPh>
    <rPh sb="18" eb="19">
      <t>マタ</t>
    </rPh>
    <rPh sb="20" eb="22">
      <t>バアイ</t>
    </rPh>
    <rPh sb="25" eb="26">
      <t>ジ</t>
    </rPh>
    <rPh sb="29" eb="31">
      <t>ケイゾク</t>
    </rPh>
    <rPh sb="31" eb="33">
      <t>ジコク</t>
    </rPh>
    <rPh sb="34" eb="36">
      <t>ニュウリョク</t>
    </rPh>
    <phoneticPr fontId="3"/>
  </si>
  <si>
    <t>24時間入力統一にあわせて深夜勤務時間計算を改修</t>
    <rPh sb="2" eb="4">
      <t>ジカン</t>
    </rPh>
    <rPh sb="4" eb="6">
      <t>ニュウリョク</t>
    </rPh>
    <rPh sb="6" eb="8">
      <t>トウイツ</t>
    </rPh>
    <rPh sb="22" eb="24">
      <t>カイシュウ</t>
    </rPh>
    <phoneticPr fontId="3"/>
  </si>
  <si>
    <t>プロジェクト番号と作業コードの設定機能を復元した。</t>
    <rPh sb="6" eb="8">
      <t>バンゴウ</t>
    </rPh>
    <rPh sb="9" eb="11">
      <t>サギョウ</t>
    </rPh>
    <rPh sb="15" eb="17">
      <t>セッテイ</t>
    </rPh>
    <rPh sb="17" eb="19">
      <t>キノウ</t>
    </rPh>
    <rPh sb="20" eb="22">
      <t>フクゲン</t>
    </rPh>
    <phoneticPr fontId="3"/>
  </si>
  <si>
    <t>2018/1月</t>
    <rPh sb="6" eb="7">
      <t>ガツ</t>
    </rPh>
    <phoneticPr fontId="3"/>
  </si>
  <si>
    <t>2018/2月</t>
    <rPh sb="6" eb="7">
      <t>ガツ</t>
    </rPh>
    <phoneticPr fontId="3"/>
  </si>
  <si>
    <t>2018/3月</t>
    <rPh sb="6" eb="7">
      <t>ガツ</t>
    </rPh>
    <phoneticPr fontId="3"/>
  </si>
  <si>
    <t>2018/4月</t>
    <rPh sb="6" eb="7">
      <t>ガツ</t>
    </rPh>
    <phoneticPr fontId="3"/>
  </si>
  <si>
    <t>2018/5月</t>
    <rPh sb="6" eb="7">
      <t>ガツ</t>
    </rPh>
    <phoneticPr fontId="3"/>
  </si>
  <si>
    <t>2018/6月</t>
    <rPh sb="6" eb="7">
      <t>ガツ</t>
    </rPh>
    <phoneticPr fontId="3"/>
  </si>
  <si>
    <t>2018/7月</t>
    <rPh sb="6" eb="7">
      <t>ガツ</t>
    </rPh>
    <phoneticPr fontId="3"/>
  </si>
  <si>
    <t>2018/8月</t>
    <rPh sb="6" eb="7">
      <t>ガツ</t>
    </rPh>
    <phoneticPr fontId="3"/>
  </si>
  <si>
    <t>2018/9月</t>
    <rPh sb="6" eb="7">
      <t>ガツ</t>
    </rPh>
    <phoneticPr fontId="3"/>
  </si>
  <si>
    <t>2018/10月</t>
    <rPh sb="7" eb="8">
      <t>ガツ</t>
    </rPh>
    <phoneticPr fontId="3"/>
  </si>
  <si>
    <t>2018/11月</t>
    <rPh sb="7" eb="8">
      <t>ガツ</t>
    </rPh>
    <phoneticPr fontId="3"/>
  </si>
  <si>
    <t>2018/12月</t>
    <rPh sb="7" eb="8">
      <t>ガツ</t>
    </rPh>
    <phoneticPr fontId="3"/>
  </si>
  <si>
    <t>月</t>
    <phoneticPr fontId="3"/>
  </si>
  <si>
    <t>火</t>
    <phoneticPr fontId="3"/>
  </si>
  <si>
    <t>木</t>
    <phoneticPr fontId="3"/>
  </si>
  <si>
    <t>金</t>
    <phoneticPr fontId="3"/>
  </si>
  <si>
    <t>土</t>
    <phoneticPr fontId="3"/>
  </si>
  <si>
    <t>日</t>
    <phoneticPr fontId="3"/>
  </si>
  <si>
    <t>水</t>
    <phoneticPr fontId="3"/>
  </si>
  <si>
    <t>祭</t>
    <phoneticPr fontId="3"/>
  </si>
  <si>
    <t>2022/1月</t>
    <rPh sb="6" eb="7">
      <t>ガツ</t>
    </rPh>
    <phoneticPr fontId="3"/>
  </si>
  <si>
    <t>2022/2月</t>
    <rPh sb="6" eb="7">
      <t>ガツ</t>
    </rPh>
    <phoneticPr fontId="3"/>
  </si>
  <si>
    <t>2022/3月</t>
    <rPh sb="6" eb="7">
      <t>ガツ</t>
    </rPh>
    <phoneticPr fontId="3"/>
  </si>
  <si>
    <t>2022/4月</t>
    <rPh sb="6" eb="7">
      <t>ガツ</t>
    </rPh>
    <phoneticPr fontId="3"/>
  </si>
  <si>
    <t>2022/5月</t>
    <rPh sb="6" eb="7">
      <t>ガツ</t>
    </rPh>
    <phoneticPr fontId="3"/>
  </si>
  <si>
    <t>2022/6月</t>
    <rPh sb="6" eb="7">
      <t>ガツ</t>
    </rPh>
    <phoneticPr fontId="3"/>
  </si>
  <si>
    <t>2022/7月</t>
    <rPh sb="6" eb="7">
      <t>ガツ</t>
    </rPh>
    <phoneticPr fontId="3"/>
  </si>
  <si>
    <t>2022/8月</t>
    <rPh sb="6" eb="7">
      <t>ガツ</t>
    </rPh>
    <phoneticPr fontId="3"/>
  </si>
  <si>
    <t>2022/9月</t>
    <rPh sb="6" eb="7">
      <t>ガツ</t>
    </rPh>
    <phoneticPr fontId="3"/>
  </si>
  <si>
    <t>2022/10月</t>
    <rPh sb="7" eb="8">
      <t>ガツ</t>
    </rPh>
    <phoneticPr fontId="3"/>
  </si>
  <si>
    <t>2022/11月</t>
    <rPh sb="7" eb="8">
      <t>ガツ</t>
    </rPh>
    <phoneticPr fontId="3"/>
  </si>
  <si>
    <t>2022/12月</t>
    <rPh sb="7" eb="8">
      <t>ガツ</t>
    </rPh>
    <phoneticPr fontId="3"/>
  </si>
  <si>
    <t>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</si>
</sst>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\ &quot;日 &quot;"/>
    <numFmt numFmtId="177" formatCode="0.0_);[Red]\(0.0\)"/>
    <numFmt numFmtId="178" formatCode="#.0\ &quot;hr &quot;"/>
    <numFmt numFmtId="179" formatCode="0.0\ &quot;hr &quot;"/>
    <numFmt numFmtId="180" formatCode="0.0\ &quot;hr &quot;;&quot;△&quot;0.0\ &quot;hr &quot;"/>
    <numFmt numFmtId="181" formatCode="[hh]:mm"/>
    <numFmt numFmtId="182" formatCode="0.0;&quot;▲ &quot;0.0"/>
    <numFmt numFmtId="183" formatCode="0.0;&quot;△ &quot;0.0"/>
    <numFmt numFmtId="184" formatCode="#\ &quot;日&quot;"/>
    <numFmt numFmtId="185" formatCode="#\ &quot;回&quot;"/>
    <numFmt numFmtId="186" formatCode="0.0_ "/>
  </numFmts>
  <fonts count="20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8"/>
      <name val="ＭＳ 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12"/>
      <name val="ＭＳ ゴシック"/>
      <family val="3"/>
      <charset val="128"/>
    </font>
    <font>
      <vertAlign val="superscript"/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color indexed="1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1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medium">
        <color indexed="64"/>
      </bottom>
      <diagonal/>
    </border>
    <border>
      <left/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center" vertical="center"/>
    </xf>
    <xf numFmtId="177" fontId="4" fillId="0" borderId="1" xfId="0" applyNumberFormat="1" applyFont="1" applyBorder="1" applyAlignment="1" applyProtection="1">
      <alignment horizontal="center" vertical="center"/>
    </xf>
    <xf numFmtId="178" fontId="5" fillId="0" borderId="1" xfId="0" applyNumberFormat="1" applyFont="1" applyBorder="1" applyAlignment="1" applyProtection="1">
      <alignment horizontal="right" vertical="center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9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/>
    </xf>
    <xf numFmtId="0" fontId="9" fillId="2" borderId="3" xfId="0" applyFont="1" applyFill="1" applyBorder="1" applyAlignment="1" applyProtection="1">
      <alignment horizontal="center" vertical="center"/>
    </xf>
    <xf numFmtId="0" fontId="8" fillId="2" borderId="3" xfId="0" applyFont="1" applyFill="1" applyBorder="1" applyAlignment="1" applyProtection="1">
      <alignment horizontal="center" vertical="center"/>
    </xf>
    <xf numFmtId="181" fontId="11" fillId="2" borderId="4" xfId="0" applyNumberFormat="1" applyFont="1" applyFill="1" applyBorder="1" applyAlignment="1" applyProtection="1">
      <alignment vertical="center"/>
      <protection locked="0"/>
    </xf>
    <xf numFmtId="181" fontId="11" fillId="2" borderId="3" xfId="0" applyNumberFormat="1" applyFont="1" applyFill="1" applyBorder="1" applyAlignment="1" applyProtection="1">
      <alignment vertical="center"/>
      <protection locked="0"/>
    </xf>
    <xf numFmtId="183" fontId="4" fillId="2" borderId="5" xfId="0" applyNumberFormat="1" applyFont="1" applyFill="1" applyBorder="1" applyAlignment="1" applyProtection="1">
      <alignment vertical="center"/>
      <protection locked="0"/>
    </xf>
    <xf numFmtId="182" fontId="4" fillId="2" borderId="2" xfId="0" applyNumberFormat="1" applyFont="1" applyFill="1" applyBorder="1" applyAlignment="1" applyProtection="1">
      <alignment horizontal="center" vertical="center"/>
      <protection locked="0"/>
    </xf>
    <xf numFmtId="182" fontId="4" fillId="0" borderId="6" xfId="0" applyNumberFormat="1" applyFont="1" applyBorder="1" applyAlignment="1">
      <alignment vertical="center"/>
    </xf>
    <xf numFmtId="182" fontId="4" fillId="2" borderId="7" xfId="0" applyNumberFormat="1" applyFont="1" applyFill="1" applyBorder="1" applyAlignment="1" applyProtection="1">
      <alignment horizontal="center" vertical="center"/>
      <protection locked="0"/>
    </xf>
    <xf numFmtId="182" fontId="4" fillId="2" borderId="8" xfId="0" applyNumberFormat="1" applyFont="1" applyFill="1" applyBorder="1" applyAlignment="1" applyProtection="1">
      <alignment horizontal="center" vertical="center"/>
      <protection locked="0"/>
    </xf>
    <xf numFmtId="182" fontId="4" fillId="0" borderId="9" xfId="0" applyNumberFormat="1" applyFont="1" applyBorder="1" applyAlignment="1">
      <alignment vertical="center"/>
    </xf>
    <xf numFmtId="182" fontId="4" fillId="0" borderId="10" xfId="0" applyNumberFormat="1" applyFont="1" applyBorder="1" applyAlignment="1">
      <alignment vertical="center"/>
    </xf>
    <xf numFmtId="182" fontId="4" fillId="0" borderId="11" xfId="0" applyNumberFormat="1" applyFont="1" applyBorder="1" applyAlignment="1">
      <alignment vertical="center"/>
    </xf>
    <xf numFmtId="184" fontId="4" fillId="0" borderId="6" xfId="0" applyNumberFormat="1" applyFont="1" applyBorder="1" applyAlignment="1">
      <alignment horizontal="right" vertical="center"/>
    </xf>
    <xf numFmtId="185" fontId="4" fillId="0" borderId="6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82" fontId="4" fillId="2" borderId="15" xfId="0" applyNumberFormat="1" applyFont="1" applyFill="1" applyBorder="1" applyAlignment="1" applyProtection="1">
      <alignment vertical="center"/>
      <protection locked="0"/>
    </xf>
    <xf numFmtId="182" fontId="4" fillId="0" borderId="16" xfId="0" applyNumberFormat="1" applyFont="1" applyBorder="1" applyAlignment="1">
      <alignment vertical="center"/>
    </xf>
    <xf numFmtId="0" fontId="4" fillId="0" borderId="0" xfId="0" applyFont="1" applyAlignment="1"/>
    <xf numFmtId="0" fontId="4" fillId="0" borderId="0" xfId="0" applyFont="1" applyAlignment="1">
      <alignment horizontal="center" wrapText="1"/>
    </xf>
    <xf numFmtId="0" fontId="11" fillId="0" borderId="0" xfId="0" applyFont="1" applyFill="1" applyAlignment="1"/>
    <xf numFmtId="0" fontId="11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3" borderId="17" xfId="0" applyFill="1" applyBorder="1" applyAlignment="1">
      <alignment vertical="center"/>
    </xf>
    <xf numFmtId="0" fontId="1" fillId="0" borderId="18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quotePrefix="1" applyBorder="1" applyAlignment="1">
      <alignment vertical="center"/>
    </xf>
    <xf numFmtId="0" fontId="1" fillId="0" borderId="2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quotePrefix="1" applyBorder="1" applyAlignment="1">
      <alignment vertical="center"/>
    </xf>
    <xf numFmtId="0" fontId="1" fillId="0" borderId="0" xfId="0" applyFont="1"/>
    <xf numFmtId="0" fontId="12" fillId="0" borderId="0" xfId="0" applyFont="1"/>
    <xf numFmtId="0" fontId="13" fillId="0" borderId="0" xfId="0" applyFont="1"/>
    <xf numFmtId="0" fontId="0" fillId="0" borderId="26" xfId="0" applyBorder="1"/>
    <xf numFmtId="0" fontId="0" fillId="0" borderId="27" xfId="0" applyBorder="1"/>
    <xf numFmtId="181" fontId="0" fillId="0" borderId="18" xfId="0" applyNumberFormat="1" applyBorder="1"/>
    <xf numFmtId="181" fontId="0" fillId="0" borderId="20" xfId="0" applyNumberFormat="1" applyBorder="1"/>
    <xf numFmtId="181" fontId="0" fillId="0" borderId="22" xfId="0" applyNumberFormat="1" applyBorder="1"/>
    <xf numFmtId="181" fontId="0" fillId="0" borderId="24" xfId="0" applyNumberFormat="1" applyBorder="1"/>
    <xf numFmtId="20" fontId="0" fillId="0" borderId="0" xfId="0" applyNumberFormat="1"/>
    <xf numFmtId="0" fontId="16" fillId="2" borderId="26" xfId="0" applyFont="1" applyFill="1" applyBorder="1" applyAlignment="1">
      <alignment horizontal="center"/>
    </xf>
    <xf numFmtId="49" fontId="0" fillId="2" borderId="28" xfId="0" applyNumberFormat="1" applyFill="1" applyBorder="1" applyAlignment="1">
      <alignment horizontal="center"/>
    </xf>
    <xf numFmtId="0" fontId="0" fillId="2" borderId="27" xfId="0" applyFill="1" applyBorder="1"/>
    <xf numFmtId="0" fontId="16" fillId="0" borderId="18" xfId="0" applyFont="1" applyFill="1" applyBorder="1" applyAlignment="1">
      <alignment horizontal="center"/>
    </xf>
    <xf numFmtId="49" fontId="0" fillId="0" borderId="19" xfId="0" applyNumberFormat="1" applyFill="1" applyBorder="1" applyAlignment="1">
      <alignment horizontal="center"/>
    </xf>
    <xf numFmtId="0" fontId="0" fillId="0" borderId="20" xfId="0" applyFill="1" applyBorder="1"/>
    <xf numFmtId="0" fontId="16" fillId="0" borderId="29" xfId="0" applyFont="1" applyFill="1" applyBorder="1" applyAlignment="1">
      <alignment horizontal="center"/>
    </xf>
    <xf numFmtId="0" fontId="16" fillId="0" borderId="29" xfId="0" applyFon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20" xfId="0" applyBorder="1"/>
    <xf numFmtId="0" fontId="16" fillId="0" borderId="30" xfId="0" applyFon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0" fontId="0" fillId="0" borderId="32" xfId="0" applyBorder="1"/>
    <xf numFmtId="0" fontId="16" fillId="0" borderId="33" xfId="0" applyFon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0" fontId="0" fillId="0" borderId="35" xfId="0" applyBorder="1"/>
    <xf numFmtId="0" fontId="16" fillId="0" borderId="0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16" fillId="2" borderId="36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6" fillId="2" borderId="37" xfId="0" applyFont="1" applyFill="1" applyBorder="1"/>
    <xf numFmtId="0" fontId="16" fillId="0" borderId="38" xfId="0" applyFont="1" applyBorder="1" applyAlignment="1">
      <alignment horizontal="center"/>
    </xf>
    <xf numFmtId="0" fontId="16" fillId="0" borderId="39" xfId="0" applyFont="1" applyBorder="1" applyAlignment="1">
      <alignment horizontal="center"/>
    </xf>
    <xf numFmtId="0" fontId="16" fillId="0" borderId="40" xfId="0" applyFont="1" applyBorder="1"/>
    <xf numFmtId="0" fontId="16" fillId="0" borderId="41" xfId="0" applyFont="1" applyBorder="1" applyAlignment="1">
      <alignment horizontal="center"/>
    </xf>
    <xf numFmtId="0" fontId="16" fillId="0" borderId="42" xfId="0" applyFont="1" applyBorder="1" applyAlignment="1">
      <alignment horizontal="center"/>
    </xf>
    <xf numFmtId="0" fontId="16" fillId="0" borderId="43" xfId="0" applyFont="1" applyBorder="1"/>
    <xf numFmtId="0" fontId="16" fillId="0" borderId="44" xfId="0" applyFont="1" applyBorder="1" applyAlignment="1">
      <alignment horizontal="center"/>
    </xf>
    <xf numFmtId="0" fontId="16" fillId="0" borderId="45" xfId="0" applyFont="1" applyBorder="1" applyAlignment="1">
      <alignment horizontal="center"/>
    </xf>
    <xf numFmtId="0" fontId="16" fillId="0" borderId="46" xfId="0" applyFont="1" applyBorder="1"/>
    <xf numFmtId="0" fontId="16" fillId="0" borderId="47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6" fillId="0" borderId="48" xfId="0" applyFont="1" applyBorder="1"/>
    <xf numFmtId="0" fontId="16" fillId="0" borderId="49" xfId="0" applyFont="1" applyBorder="1" applyAlignment="1">
      <alignment horizontal="center"/>
    </xf>
    <xf numFmtId="0" fontId="16" fillId="0" borderId="50" xfId="0" applyFont="1" applyBorder="1"/>
    <xf numFmtId="0" fontId="16" fillId="0" borderId="51" xfId="0" applyFont="1" applyBorder="1" applyAlignment="1">
      <alignment horizontal="center"/>
    </xf>
    <xf numFmtId="0" fontId="16" fillId="0" borderId="52" xfId="0" applyFont="1" applyBorder="1" applyAlignment="1">
      <alignment horizontal="center"/>
    </xf>
    <xf numFmtId="0" fontId="16" fillId="0" borderId="53" xfId="0" applyFont="1" applyBorder="1"/>
    <xf numFmtId="0" fontId="0" fillId="0" borderId="0" xfId="0" applyAlignment="1">
      <alignment horizontal="center"/>
    </xf>
    <xf numFmtId="0" fontId="0" fillId="0" borderId="19" xfId="0" applyBorder="1"/>
    <xf numFmtId="0" fontId="0" fillId="0" borderId="19" xfId="0" quotePrefix="1" applyBorder="1"/>
    <xf numFmtId="14" fontId="0" fillId="0" borderId="19" xfId="0" quotePrefix="1" applyNumberFormat="1" applyBorder="1"/>
    <xf numFmtId="0" fontId="17" fillId="0" borderId="0" xfId="0" applyFont="1" applyAlignment="1">
      <alignment vertical="center"/>
    </xf>
    <xf numFmtId="0" fontId="18" fillId="0" borderId="0" xfId="0" applyFont="1"/>
    <xf numFmtId="186" fontId="4" fillId="2" borderId="15" xfId="0" applyNumberFormat="1" applyFont="1" applyFill="1" applyBorder="1" applyAlignment="1" applyProtection="1">
      <alignment vertical="center"/>
    </xf>
    <xf numFmtId="0" fontId="0" fillId="0" borderId="19" xfId="0" applyBorder="1" applyAlignment="1">
      <alignment wrapText="1"/>
    </xf>
    <xf numFmtId="0" fontId="0" fillId="3" borderId="54" xfId="0" applyFill="1" applyBorder="1" applyAlignment="1">
      <alignment horizontal="center" vertical="center"/>
    </xf>
    <xf numFmtId="0" fontId="0" fillId="3" borderId="55" xfId="0" applyFill="1" applyBorder="1" applyAlignment="1">
      <alignment horizontal="center" vertical="center"/>
    </xf>
    <xf numFmtId="0" fontId="0" fillId="3" borderId="56" xfId="0" applyFill="1" applyBorder="1" applyAlignment="1">
      <alignment horizontal="left" vertical="center"/>
    </xf>
    <xf numFmtId="0" fontId="10" fillId="4" borderId="2" xfId="0" applyFont="1" applyFill="1" applyBorder="1" applyAlignment="1" applyProtection="1">
      <alignment horizontal="center" vertical="center"/>
    </xf>
    <xf numFmtId="0" fontId="10" fillId="4" borderId="3" xfId="0" applyFont="1" applyFill="1" applyBorder="1" applyAlignment="1" applyProtection="1">
      <alignment horizontal="center" vertical="center"/>
    </xf>
    <xf numFmtId="181" fontId="11" fillId="4" borderId="4" xfId="0" applyNumberFormat="1" applyFont="1" applyFill="1" applyBorder="1" applyAlignment="1" applyProtection="1">
      <alignment vertical="center"/>
      <protection locked="0"/>
    </xf>
    <xf numFmtId="181" fontId="11" fillId="4" borderId="3" xfId="0" applyNumberFormat="1" applyFont="1" applyFill="1" applyBorder="1" applyAlignment="1" applyProtection="1">
      <alignment vertical="center"/>
      <protection locked="0"/>
    </xf>
    <xf numFmtId="183" fontId="4" fillId="4" borderId="5" xfId="0" applyNumberFormat="1" applyFont="1" applyFill="1" applyBorder="1" applyAlignment="1" applyProtection="1">
      <alignment vertical="center"/>
      <protection locked="0"/>
    </xf>
    <xf numFmtId="186" fontId="4" fillId="4" borderId="15" xfId="0" applyNumberFormat="1" applyFont="1" applyFill="1" applyBorder="1" applyAlignment="1" applyProtection="1">
      <alignment vertical="center"/>
    </xf>
    <xf numFmtId="182" fontId="4" fillId="4" borderId="2" xfId="0" applyNumberFormat="1" applyFont="1" applyFill="1" applyBorder="1" applyAlignment="1" applyProtection="1">
      <alignment horizontal="center" vertical="center"/>
      <protection locked="0"/>
    </xf>
    <xf numFmtId="182" fontId="4" fillId="4" borderId="7" xfId="0" applyNumberFormat="1" applyFont="1" applyFill="1" applyBorder="1" applyAlignment="1" applyProtection="1">
      <alignment horizontal="center" vertical="center"/>
      <protection locked="0"/>
    </xf>
    <xf numFmtId="182" fontId="4" fillId="4" borderId="8" xfId="0" applyNumberFormat="1" applyFont="1" applyFill="1" applyBorder="1" applyAlignment="1" applyProtection="1">
      <alignment horizontal="center" vertical="center"/>
      <protection locked="0"/>
    </xf>
    <xf numFmtId="182" fontId="4" fillId="4" borderId="15" xfId="0" applyNumberFormat="1" applyFont="1" applyFill="1" applyBorder="1" applyAlignment="1" applyProtection="1">
      <alignment vertical="center"/>
      <protection locked="0"/>
    </xf>
    <xf numFmtId="0" fontId="7" fillId="0" borderId="0" xfId="0" applyFont="1" applyFill="1" applyAlignment="1">
      <alignment vertical="center"/>
    </xf>
    <xf numFmtId="0" fontId="11" fillId="0" borderId="0" xfId="0" applyFont="1" applyFill="1" applyAlignment="1">
      <alignment vertical="center"/>
    </xf>
    <xf numFmtId="49" fontId="4" fillId="4" borderId="13" xfId="0" applyNumberFormat="1" applyFont="1" applyFill="1" applyBorder="1" applyAlignment="1" applyProtection="1">
      <alignment horizontal="center" vertical="center"/>
      <protection locked="0"/>
    </xf>
    <xf numFmtId="0" fontId="18" fillId="3" borderId="19" xfId="0" applyFont="1" applyFill="1" applyBorder="1" applyAlignment="1">
      <alignment vertical="center"/>
    </xf>
    <xf numFmtId="181" fontId="11" fillId="4" borderId="62" xfId="0" applyNumberFormat="1" applyFont="1" applyFill="1" applyBorder="1" applyAlignment="1" applyProtection="1">
      <alignment vertical="center"/>
      <protection locked="0"/>
    </xf>
    <xf numFmtId="181" fontId="11" fillId="2" borderId="65" xfId="0" applyNumberFormat="1" applyFont="1" applyFill="1" applyBorder="1" applyAlignment="1" applyProtection="1">
      <alignment vertical="center"/>
      <protection locked="0"/>
    </xf>
    <xf numFmtId="181" fontId="11" fillId="2" borderId="66" xfId="0" applyNumberFormat="1" applyFont="1" applyFill="1" applyBorder="1" applyAlignment="1" applyProtection="1">
      <alignment vertical="center"/>
      <protection locked="0"/>
    </xf>
    <xf numFmtId="183" fontId="4" fillId="2" borderId="67" xfId="0" applyNumberFormat="1" applyFont="1" applyFill="1" applyBorder="1" applyAlignment="1" applyProtection="1">
      <alignment vertical="center"/>
      <protection locked="0"/>
    </xf>
    <xf numFmtId="186" fontId="4" fillId="2" borderId="68" xfId="0" applyNumberFormat="1" applyFont="1" applyFill="1" applyBorder="1" applyAlignment="1" applyProtection="1">
      <alignment vertical="center"/>
    </xf>
    <xf numFmtId="182" fontId="4" fillId="2" borderId="63" xfId="0" applyNumberFormat="1" applyFont="1" applyFill="1" applyBorder="1" applyAlignment="1" applyProtection="1">
      <alignment horizontal="center" vertical="center"/>
      <protection locked="0"/>
    </xf>
    <xf numFmtId="182" fontId="4" fillId="2" borderId="69" xfId="0" applyNumberFormat="1" applyFont="1" applyFill="1" applyBorder="1" applyAlignment="1" applyProtection="1">
      <alignment horizontal="center" vertical="center"/>
      <protection locked="0"/>
    </xf>
    <xf numFmtId="182" fontId="4" fillId="2" borderId="70" xfId="0" applyNumberFormat="1" applyFont="1" applyFill="1" applyBorder="1" applyAlignment="1" applyProtection="1">
      <alignment horizontal="center" vertical="center"/>
      <protection locked="0"/>
    </xf>
    <xf numFmtId="182" fontId="4" fillId="2" borderId="68" xfId="0" applyNumberFormat="1" applyFont="1" applyFill="1" applyBorder="1" applyAlignment="1" applyProtection="1">
      <alignment vertical="center"/>
      <protection locked="0"/>
    </xf>
    <xf numFmtId="181" fontId="11" fillId="2" borderId="71" xfId="0" applyNumberFormat="1" applyFont="1" applyFill="1" applyBorder="1" applyAlignment="1" applyProtection="1">
      <alignment vertical="center"/>
      <protection locked="0"/>
    </xf>
    <xf numFmtId="181" fontId="11" fillId="4" borderId="72" xfId="0" applyNumberFormat="1" applyFont="1" applyFill="1" applyBorder="1" applyAlignment="1" applyProtection="1">
      <alignment vertical="center"/>
      <protection locked="0"/>
    </xf>
    <xf numFmtId="0" fontId="4" fillId="0" borderId="42" xfId="0" applyFont="1" applyBorder="1" applyAlignment="1" applyProtection="1">
      <alignment horizontal="left" vertical="center"/>
    </xf>
    <xf numFmtId="0" fontId="4" fillId="0" borderId="13" xfId="0" applyFont="1" applyBorder="1" applyAlignment="1" applyProtection="1">
      <alignment horizontal="left" vertical="center"/>
    </xf>
    <xf numFmtId="0" fontId="4" fillId="0" borderId="41" xfId="0" applyFont="1" applyBorder="1" applyAlignment="1" applyProtection="1">
      <alignment horizontal="left" vertical="center"/>
    </xf>
    <xf numFmtId="0" fontId="4" fillId="0" borderId="76" xfId="0" applyFont="1" applyBorder="1" applyAlignment="1" applyProtection="1">
      <alignment horizontal="left" vertical="center"/>
    </xf>
    <xf numFmtId="49" fontId="4" fillId="5" borderId="73" xfId="0" applyNumberFormat="1" applyFont="1" applyFill="1" applyBorder="1" applyAlignment="1" applyProtection="1">
      <alignment horizontal="center" vertical="center" wrapText="1"/>
      <protection locked="0"/>
    </xf>
    <xf numFmtId="49" fontId="4" fillId="5" borderId="42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74" xfId="0" applyFont="1" applyBorder="1" applyAlignment="1" applyProtection="1">
      <alignment horizontal="left" vertical="center"/>
    </xf>
    <xf numFmtId="0" fontId="4" fillId="0" borderId="75" xfId="0" applyFont="1" applyBorder="1" applyAlignment="1" applyProtection="1">
      <alignment horizontal="left" vertical="center"/>
    </xf>
    <xf numFmtId="0" fontId="4" fillId="0" borderId="77" xfId="0" applyFont="1" applyBorder="1" applyAlignment="1" applyProtection="1">
      <alignment horizontal="left" vertical="center"/>
    </xf>
    <xf numFmtId="0" fontId="4" fillId="0" borderId="78" xfId="0" applyFont="1" applyBorder="1" applyAlignment="1" applyProtection="1">
      <alignment horizontal="left" vertical="center"/>
    </xf>
    <xf numFmtId="0" fontId="4" fillId="4" borderId="79" xfId="0" applyFont="1" applyFill="1" applyBorder="1" applyAlignment="1">
      <alignment vertical="top" wrapText="1"/>
    </xf>
    <xf numFmtId="0" fontId="0" fillId="4" borderId="79" xfId="0" applyFill="1" applyBorder="1" applyAlignment="1">
      <alignment vertical="top" wrapText="1"/>
    </xf>
    <xf numFmtId="0" fontId="0" fillId="4" borderId="37" xfId="0" applyFill="1" applyBorder="1" applyAlignment="1">
      <alignment vertical="top" wrapText="1"/>
    </xf>
    <xf numFmtId="49" fontId="4" fillId="4" borderId="73" xfId="0" applyNumberFormat="1" applyFont="1" applyFill="1" applyBorder="1" applyAlignment="1" applyProtection="1">
      <alignment horizontal="center" vertical="center" wrapText="1"/>
      <protection locked="0"/>
    </xf>
    <xf numFmtId="49" fontId="4" fillId="4" borderId="42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80" xfId="0" applyNumberFormat="1" applyFont="1" applyBorder="1" applyAlignment="1" applyProtection="1">
      <alignment horizontal="center" vertical="center" wrapText="1"/>
      <protection locked="0"/>
    </xf>
    <xf numFmtId="49" fontId="4" fillId="0" borderId="81" xfId="0" applyNumberFormat="1" applyFont="1" applyBorder="1" applyAlignment="1" applyProtection="1">
      <alignment horizontal="center" vertical="center" wrapText="1"/>
      <protection locked="0"/>
    </xf>
    <xf numFmtId="49" fontId="4" fillId="0" borderId="82" xfId="0" applyNumberFormat="1" applyFont="1" applyBorder="1" applyAlignment="1" applyProtection="1">
      <alignment horizontal="center" vertical="center" wrapText="1"/>
      <protection locked="0"/>
    </xf>
    <xf numFmtId="0" fontId="4" fillId="0" borderId="83" xfId="0" applyFont="1" applyBorder="1" applyAlignment="1" applyProtection="1">
      <alignment horizontal="center" vertical="center"/>
    </xf>
    <xf numFmtId="0" fontId="4" fillId="0" borderId="84" xfId="0" applyFont="1" applyBorder="1" applyAlignment="1" applyProtection="1">
      <alignment horizontal="center" vertical="center"/>
    </xf>
    <xf numFmtId="20" fontId="4" fillId="0" borderId="85" xfId="0" applyNumberFormat="1" applyFont="1" applyBorder="1" applyAlignment="1" applyProtection="1">
      <alignment horizontal="center" vertical="center"/>
    </xf>
    <xf numFmtId="0" fontId="4" fillId="0" borderId="49" xfId="0" applyFont="1" applyBorder="1" applyAlignment="1" applyProtection="1">
      <alignment horizontal="center" vertical="center"/>
    </xf>
    <xf numFmtId="0" fontId="4" fillId="0" borderId="86" xfId="0" applyFont="1" applyBorder="1" applyAlignment="1" applyProtection="1">
      <alignment horizontal="center" vertical="center"/>
    </xf>
    <xf numFmtId="182" fontId="4" fillId="0" borderId="87" xfId="0" applyNumberFormat="1" applyFont="1" applyBorder="1" applyAlignment="1">
      <alignment horizontal="right"/>
    </xf>
    <xf numFmtId="20" fontId="4" fillId="0" borderId="88" xfId="0" applyNumberFormat="1" applyFont="1" applyBorder="1" applyAlignment="1" applyProtection="1">
      <alignment horizontal="center" vertical="center"/>
    </xf>
    <xf numFmtId="0" fontId="4" fillId="0" borderId="89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4" fillId="0" borderId="90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91" xfId="0" applyFont="1" applyBorder="1" applyAlignment="1" applyProtection="1">
      <alignment horizontal="center" vertical="center"/>
    </xf>
    <xf numFmtId="0" fontId="4" fillId="0" borderId="80" xfId="0" applyFont="1" applyFill="1" applyBorder="1" applyAlignment="1" applyProtection="1">
      <alignment horizontal="center" vertical="center" wrapText="1"/>
    </xf>
    <xf numFmtId="0" fontId="0" fillId="0" borderId="81" xfId="0" applyFill="1" applyBorder="1" applyAlignment="1" applyProtection="1">
      <alignment vertical="center"/>
    </xf>
    <xf numFmtId="0" fontId="0" fillId="0" borderId="92" xfId="0" applyFill="1" applyBorder="1" applyAlignment="1" applyProtection="1">
      <alignment vertical="center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18" xfId="0" applyFont="1" applyBorder="1" applyAlignment="1" applyProtection="1">
      <alignment horizontal="center" vertical="center" wrapText="1"/>
    </xf>
    <xf numFmtId="0" fontId="4" fillId="0" borderId="90" xfId="0" applyFont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93" xfId="0" applyFont="1" applyBorder="1" applyAlignment="1" applyProtection="1">
      <alignment horizontal="center" vertical="center" wrapText="1"/>
    </xf>
    <xf numFmtId="180" fontId="5" fillId="0" borderId="94" xfId="0" applyNumberFormat="1" applyFont="1" applyBorder="1" applyAlignment="1" applyProtection="1">
      <alignment vertical="center"/>
    </xf>
    <xf numFmtId="180" fontId="5" fillId="0" borderId="95" xfId="0" applyNumberFormat="1" applyFont="1" applyBorder="1" applyAlignment="1" applyProtection="1">
      <alignment vertical="center"/>
    </xf>
    <xf numFmtId="180" fontId="5" fillId="0" borderId="96" xfId="0" applyNumberFormat="1" applyFont="1" applyBorder="1" applyAlignment="1" applyProtection="1">
      <alignment vertical="center"/>
    </xf>
    <xf numFmtId="0" fontId="4" fillId="0" borderId="97" xfId="0" applyFont="1" applyBorder="1" applyAlignment="1" applyProtection="1">
      <alignment horizontal="center" vertical="center"/>
    </xf>
    <xf numFmtId="0" fontId="4" fillId="0" borderId="98" xfId="0" applyFont="1" applyBorder="1" applyAlignment="1" applyProtection="1">
      <alignment horizontal="center" vertical="center"/>
    </xf>
    <xf numFmtId="179" fontId="5" fillId="0" borderId="94" xfId="0" applyNumberFormat="1" applyFont="1" applyBorder="1" applyAlignment="1" applyProtection="1">
      <alignment vertical="center"/>
    </xf>
    <xf numFmtId="179" fontId="5" fillId="0" borderId="95" xfId="0" applyNumberFormat="1" applyFont="1" applyBorder="1" applyAlignment="1" applyProtection="1">
      <alignment vertical="center"/>
    </xf>
    <xf numFmtId="179" fontId="5" fillId="0" borderId="96" xfId="0" applyNumberFormat="1" applyFont="1" applyBorder="1" applyAlignment="1" applyProtection="1">
      <alignment vertical="center"/>
    </xf>
    <xf numFmtId="0" fontId="4" fillId="0" borderId="99" xfId="0" applyFont="1" applyBorder="1" applyAlignment="1" applyProtection="1">
      <alignment horizontal="right" vertical="center" wrapText="1"/>
    </xf>
    <xf numFmtId="0" fontId="4" fillId="0" borderId="30" xfId="0" applyFont="1" applyBorder="1" applyAlignment="1" applyProtection="1">
      <alignment horizontal="right" vertical="center" wrapText="1"/>
    </xf>
    <xf numFmtId="0" fontId="4" fillId="0" borderId="100" xfId="0" applyFont="1" applyBorder="1" applyAlignment="1" applyProtection="1">
      <alignment horizontal="left" vertical="center" wrapText="1"/>
    </xf>
    <xf numFmtId="0" fontId="4" fillId="0" borderId="101" xfId="0" applyFont="1" applyBorder="1" applyAlignment="1" applyProtection="1">
      <alignment horizontal="left" vertical="center" wrapText="1"/>
    </xf>
    <xf numFmtId="0" fontId="4" fillId="0" borderId="102" xfId="0" applyFont="1" applyBorder="1" applyAlignment="1" applyProtection="1">
      <alignment horizontal="center" vertical="center" wrapText="1"/>
    </xf>
    <xf numFmtId="0" fontId="4" fillId="0" borderId="103" xfId="0" applyFont="1" applyBorder="1" applyAlignment="1" applyProtection="1">
      <alignment horizontal="center" vertical="center" wrapText="1"/>
    </xf>
    <xf numFmtId="0" fontId="4" fillId="0" borderId="106" xfId="0" applyFont="1" applyBorder="1" applyAlignment="1">
      <alignment horizontal="center" vertical="center" wrapText="1"/>
    </xf>
    <xf numFmtId="0" fontId="4" fillId="0" borderId="107" xfId="0" applyFont="1" applyBorder="1" applyAlignment="1">
      <alignment horizontal="center" vertical="center" wrapText="1"/>
    </xf>
    <xf numFmtId="0" fontId="4" fillId="4" borderId="107" xfId="0" applyFont="1" applyFill="1" applyBorder="1" applyAlignment="1">
      <alignment horizontal="center" vertical="center"/>
    </xf>
    <xf numFmtId="0" fontId="4" fillId="4" borderId="108" xfId="0" applyFont="1" applyFill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12" xfId="0" applyFont="1" applyBorder="1" applyAlignment="1" applyProtection="1">
      <alignment horizontal="center" vertical="center"/>
    </xf>
    <xf numFmtId="176" fontId="5" fillId="0" borderId="94" xfId="0" applyNumberFormat="1" applyFont="1" applyBorder="1" applyAlignment="1" applyProtection="1">
      <alignment vertical="center"/>
    </xf>
    <xf numFmtId="176" fontId="5" fillId="0" borderId="95" xfId="0" applyNumberFormat="1" applyFont="1" applyBorder="1" applyAlignment="1" applyProtection="1">
      <alignment vertical="center"/>
    </xf>
    <xf numFmtId="176" fontId="5" fillId="0" borderId="113" xfId="0" applyNumberFormat="1" applyFont="1" applyBorder="1" applyAlignment="1" applyProtection="1">
      <alignment vertical="center"/>
    </xf>
    <xf numFmtId="0" fontId="4" fillId="2" borderId="56" xfId="0" applyFont="1" applyFill="1" applyBorder="1" applyAlignment="1" applyProtection="1">
      <alignment horizontal="center" vertical="center"/>
    </xf>
    <xf numFmtId="0" fontId="4" fillId="2" borderId="105" xfId="0" applyFont="1" applyFill="1" applyBorder="1" applyAlignment="1" applyProtection="1">
      <alignment horizontal="center" vertical="center"/>
    </xf>
    <xf numFmtId="179" fontId="5" fillId="2" borderId="104" xfId="0" applyNumberFormat="1" applyFont="1" applyFill="1" applyBorder="1" applyAlignment="1" applyProtection="1">
      <alignment vertical="center"/>
    </xf>
    <xf numFmtId="179" fontId="5" fillId="2" borderId="54" xfId="0" applyNumberFormat="1" applyFont="1" applyFill="1" applyBorder="1" applyAlignment="1" applyProtection="1">
      <alignment vertical="center"/>
    </xf>
    <xf numFmtId="179" fontId="5" fillId="2" borderId="55" xfId="0" applyNumberFormat="1" applyFont="1" applyFill="1" applyBorder="1" applyAlignment="1" applyProtection="1">
      <alignment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56" xfId="0" applyFont="1" applyBorder="1" applyAlignment="1" applyProtection="1">
      <alignment horizontal="center" vertical="center"/>
    </xf>
    <xf numFmtId="0" fontId="4" fillId="0" borderId="105" xfId="0" applyFont="1" applyBorder="1" applyAlignment="1" applyProtection="1">
      <alignment horizontal="center" vertical="center"/>
    </xf>
    <xf numFmtId="0" fontId="4" fillId="0" borderId="26" xfId="0" applyFont="1" applyBorder="1" applyAlignment="1">
      <alignment horizontal="center" vertical="center"/>
    </xf>
    <xf numFmtId="179" fontId="5" fillId="0" borderId="104" xfId="0" applyNumberFormat="1" applyFont="1" applyBorder="1" applyAlignment="1" applyProtection="1">
      <alignment vertical="center"/>
    </xf>
    <xf numFmtId="179" fontId="5" fillId="0" borderId="54" xfId="0" applyNumberFormat="1" applyFont="1" applyBorder="1" applyAlignment="1" applyProtection="1">
      <alignment vertical="center"/>
    </xf>
    <xf numFmtId="179" fontId="5" fillId="0" borderId="55" xfId="0" applyNumberFormat="1" applyFont="1" applyBorder="1" applyAlignment="1" applyProtection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0" borderId="1" xfId="0" applyFont="1" applyBorder="1" applyAlignment="1" applyProtection="1">
      <alignment horizontal="right" vertical="center" wrapText="1"/>
      <protection locked="0"/>
    </xf>
    <xf numFmtId="0" fontId="2" fillId="0" borderId="0" xfId="0" applyFont="1" applyBorder="1" applyAlignment="1" applyProtection="1">
      <alignment horizontal="right" vertical="center" wrapText="1"/>
      <protection locked="0"/>
    </xf>
    <xf numFmtId="0" fontId="2" fillId="0" borderId="0" xfId="0" applyFont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4" fillId="0" borderId="109" xfId="0" applyFont="1" applyBorder="1" applyAlignment="1">
      <alignment horizontal="center" vertical="center" wrapText="1"/>
    </xf>
    <xf numFmtId="0" fontId="4" fillId="0" borderId="110" xfId="0" applyFont="1" applyBorder="1" applyAlignment="1">
      <alignment horizontal="center" vertical="center" wrapText="1"/>
    </xf>
    <xf numFmtId="0" fontId="4" fillId="4" borderId="110" xfId="0" applyFont="1" applyFill="1" applyBorder="1" applyAlignment="1">
      <alignment horizontal="center" vertical="center"/>
    </xf>
    <xf numFmtId="0" fontId="4" fillId="4" borderId="111" xfId="0" applyFont="1" applyFill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4" fillId="0" borderId="110" xfId="0" applyFont="1" applyBorder="1" applyAlignment="1">
      <alignment horizontal="center" vertical="center"/>
    </xf>
    <xf numFmtId="0" fontId="10" fillId="4" borderId="57" xfId="0" applyFont="1" applyFill="1" applyBorder="1" applyAlignment="1" applyProtection="1">
      <alignment horizontal="center" vertical="center"/>
    </xf>
    <xf numFmtId="0" fontId="10" fillId="4" borderId="58" xfId="0" applyFont="1" applyFill="1" applyBorder="1" applyAlignment="1" applyProtection="1">
      <alignment horizontal="center" vertical="center"/>
    </xf>
    <xf numFmtId="186" fontId="4" fillId="4" borderId="59" xfId="0" applyNumberFormat="1" applyFont="1" applyFill="1" applyBorder="1" applyAlignment="1" applyProtection="1">
      <alignment vertical="center"/>
    </xf>
    <xf numFmtId="182" fontId="4" fillId="4" borderId="57" xfId="0" applyNumberFormat="1" applyFont="1" applyFill="1" applyBorder="1" applyAlignment="1" applyProtection="1">
      <alignment horizontal="center" vertical="center"/>
      <protection locked="0"/>
    </xf>
    <xf numFmtId="182" fontId="4" fillId="4" borderId="60" xfId="0" applyNumberFormat="1" applyFont="1" applyFill="1" applyBorder="1" applyAlignment="1" applyProtection="1">
      <alignment horizontal="center" vertical="center"/>
      <protection locked="0"/>
    </xf>
    <xf numFmtId="182" fontId="4" fillId="4" borderId="61" xfId="0" applyNumberFormat="1" applyFont="1" applyFill="1" applyBorder="1" applyAlignment="1" applyProtection="1">
      <alignment horizontal="center" vertical="center"/>
      <protection locked="0"/>
    </xf>
    <xf numFmtId="182" fontId="4" fillId="4" borderId="59" xfId="0" applyNumberFormat="1" applyFont="1" applyFill="1" applyBorder="1" applyAlignment="1" applyProtection="1">
      <alignment vertical="center"/>
      <protection locked="0"/>
    </xf>
    <xf numFmtId="0" fontId="9" fillId="2" borderId="63" xfId="0" applyFont="1" applyFill="1" applyBorder="1" applyAlignment="1" applyProtection="1">
      <alignment horizontal="center" vertical="center"/>
    </xf>
    <xf numFmtId="0" fontId="9" fillId="2" borderId="64" xfId="0" applyFont="1" applyFill="1" applyBorder="1" applyAlignment="1" applyProtection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AJ43"/>
  <sheetViews>
    <sheetView tabSelected="1" zoomScaleNormal="100" workbookViewId="0">
      <pane xSplit="4" ySplit="7" topLeftCell="E8" activePane="bottomRight" state="frozenSplit"/>
      <selection activeCell="E8" sqref="E8"/>
      <selection pane="topRight" activeCell="E8" sqref="E8"/>
      <selection pane="bottomLeft" activeCell="E8" sqref="E8"/>
      <selection pane="bottomRight" activeCell="E8" sqref="E8"/>
    </sheetView>
  </sheetViews>
  <sheetFormatPr defaultColWidth="9" defaultRowHeight="18" customHeight="1" x14ac:dyDescent="0.15"/>
  <cols>
    <col min="1" max="1" width="2.625" style="3" customWidth="1"/>
    <col min="2" max="2" width="2.625" style="7" customWidth="1"/>
    <col min="3" max="3" width="7.625" style="3" customWidth="1"/>
    <col min="4" max="35" width="5.125" style="3" customWidth="1"/>
    <col min="36" max="36" width="6.125" style="3" customWidth="1"/>
    <col min="37" max="16384" width="9" style="3"/>
  </cols>
  <sheetData>
    <row r="1" spans="2:36" ht="18" customHeight="1" thickBot="1" x14ac:dyDescent="0.2">
      <c r="B1" s="215" t="s">
        <v>0</v>
      </c>
      <c r="C1" s="215"/>
      <c r="D1" s="215"/>
      <c r="E1" s="215"/>
      <c r="F1" s="215"/>
      <c r="G1" s="217">
        <v>2022</v>
      </c>
      <c r="H1" s="217"/>
      <c r="I1" s="220" t="s">
        <v>1</v>
      </c>
      <c r="J1" s="217">
        <v>1</v>
      </c>
      <c r="K1" s="220" t="s">
        <v>2</v>
      </c>
      <c r="L1" s="1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11" t="s">
        <v>3</v>
      </c>
      <c r="AE1" s="192"/>
      <c r="AF1" s="192" t="s">
        <v>4</v>
      </c>
      <c r="AG1" s="192"/>
      <c r="AH1" s="192" t="s">
        <v>5</v>
      </c>
      <c r="AI1" s="193"/>
    </row>
    <row r="2" spans="2:36" ht="24.95" customHeight="1" thickBot="1" x14ac:dyDescent="0.2">
      <c r="B2" s="216"/>
      <c r="C2" s="216"/>
      <c r="D2" s="216"/>
      <c r="E2" s="216"/>
      <c r="F2" s="216"/>
      <c r="G2" s="218"/>
      <c r="H2" s="219"/>
      <c r="I2" s="221"/>
      <c r="J2" s="219"/>
      <c r="K2" s="221"/>
      <c r="N2" s="194" t="s">
        <v>6</v>
      </c>
      <c r="O2" s="176"/>
      <c r="P2" s="195">
        <f>COUNTIF(E7:AI7,"=月")+COUNTIF(E7:AI7,"=火")+COUNTIF(E7:AI7,"=水")+COUNTIF(E7:AI7,"=木")+COUNTIF(E7:AI7,"=金")</f>
        <v>18</v>
      </c>
      <c r="Q2" s="196"/>
      <c r="R2" s="197"/>
      <c r="S2" s="4"/>
      <c r="T2" s="5"/>
      <c r="U2" s="6"/>
      <c r="V2" s="6"/>
      <c r="W2" s="6"/>
      <c r="X2" s="198" t="s">
        <v>7</v>
      </c>
      <c r="Y2" s="199"/>
      <c r="Z2" s="200">
        <f>(E10+G10+H10+L10+N10+S10+Z10+AG10)</f>
        <v>0</v>
      </c>
      <c r="AA2" s="201"/>
      <c r="AB2" s="202"/>
      <c r="AC2" s="2"/>
      <c r="AD2" s="203"/>
      <c r="AE2" s="204"/>
      <c r="AF2" s="204"/>
      <c r="AG2" s="204"/>
      <c r="AH2" s="204"/>
      <c r="AI2" s="207"/>
    </row>
    <row r="3" spans="2:36" ht="24.95" customHeight="1" x14ac:dyDescent="0.15">
      <c r="B3" s="222" t="s">
        <v>8</v>
      </c>
      <c r="C3" s="223"/>
      <c r="D3" s="224"/>
      <c r="E3" s="225"/>
      <c r="F3" s="226" t="s">
        <v>9</v>
      </c>
      <c r="G3" s="227"/>
      <c r="H3" s="224"/>
      <c r="I3" s="224"/>
      <c r="J3" s="224"/>
      <c r="K3" s="224"/>
      <c r="L3" s="225"/>
      <c r="N3" s="209" t="s">
        <v>10</v>
      </c>
      <c r="O3" s="210"/>
      <c r="P3" s="212">
        <f>AJ8</f>
        <v>0</v>
      </c>
      <c r="Q3" s="213"/>
      <c r="R3" s="214"/>
      <c r="S3" s="209" t="s">
        <v>11</v>
      </c>
      <c r="T3" s="210"/>
      <c r="U3" s="212">
        <f>P2*8</f>
        <v>144</v>
      </c>
      <c r="V3" s="213"/>
      <c r="W3" s="214"/>
      <c r="X3" s="198" t="s">
        <v>12</v>
      </c>
      <c r="Y3" s="199"/>
      <c r="Z3" s="200">
        <f>(F10+M10+T10+AA10+AH10)</f>
        <v>0</v>
      </c>
      <c r="AA3" s="201"/>
      <c r="AB3" s="202"/>
      <c r="AD3" s="203"/>
      <c r="AE3" s="204"/>
      <c r="AF3" s="204"/>
      <c r="AG3" s="204"/>
      <c r="AH3" s="204"/>
      <c r="AI3" s="207"/>
    </row>
    <row r="4" spans="2:36" ht="24.95" customHeight="1" thickBot="1" x14ac:dyDescent="0.2">
      <c r="B4" s="186" t="s">
        <v>13</v>
      </c>
      <c r="C4" s="187"/>
      <c r="D4" s="188"/>
      <c r="E4" s="189"/>
      <c r="F4" s="190" t="s">
        <v>14</v>
      </c>
      <c r="G4" s="191"/>
      <c r="H4" s="188"/>
      <c r="I4" s="188"/>
      <c r="J4" s="188"/>
      <c r="K4" s="188"/>
      <c r="L4" s="189"/>
      <c r="N4" s="175" t="s">
        <v>15</v>
      </c>
      <c r="O4" s="176"/>
      <c r="P4" s="177">
        <f>SUM(AJ12:AJ16)</f>
        <v>0</v>
      </c>
      <c r="Q4" s="178"/>
      <c r="R4" s="179"/>
      <c r="S4" s="175" t="s">
        <v>16</v>
      </c>
      <c r="T4" s="176"/>
      <c r="U4" s="172">
        <f>P3-U3</f>
        <v>-144</v>
      </c>
      <c r="V4" s="173"/>
      <c r="W4" s="174"/>
      <c r="X4" s="175" t="s">
        <v>17</v>
      </c>
      <c r="Y4" s="176"/>
      <c r="Z4" s="177">
        <f>(E11+F11+G11+H11+I11+J11+K11+L11+M11+N11+O11+P11+Q11+R11+S11+T11+U11+V11+W11+X11+Y11+Z11+AA11+AB11+AC11+AD11+AE11+AF11+AG11+AH11+AI11)</f>
        <v>0</v>
      </c>
      <c r="AA4" s="178"/>
      <c r="AB4" s="179"/>
      <c r="AD4" s="205"/>
      <c r="AE4" s="206"/>
      <c r="AF4" s="206"/>
      <c r="AG4" s="206"/>
      <c r="AH4" s="206"/>
      <c r="AI4" s="208"/>
    </row>
    <row r="5" spans="2:36" ht="17.25" customHeight="1" thickBot="1" x14ac:dyDescent="0.2">
      <c r="E5" s="102" t="s">
        <v>93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  <row r="6" spans="2:36" ht="18" customHeight="1" x14ac:dyDescent="0.15">
      <c r="B6" s="180">
        <f>J1</f>
        <v>1</v>
      </c>
      <c r="C6" s="182" t="s">
        <v>91</v>
      </c>
      <c r="D6" s="184" t="s">
        <v>92</v>
      </c>
      <c r="E6" s="235">
        <v>1</v>
      </c>
      <c r="F6" s="10">
        <v>2</v>
      </c>
      <c r="G6" s="10">
        <v>3</v>
      </c>
      <c r="H6" s="10">
        <v>4</v>
      </c>
      <c r="I6" s="109">
        <v>5</v>
      </c>
      <c r="J6" s="109">
        <v>6</v>
      </c>
      <c r="K6" s="109">
        <v>7</v>
      </c>
      <c r="L6" s="9">
        <v>8</v>
      </c>
      <c r="M6" s="10">
        <v>9</v>
      </c>
      <c r="N6" s="10">
        <v>10</v>
      </c>
      <c r="O6" s="109">
        <v>11</v>
      </c>
      <c r="P6" s="109">
        <v>12</v>
      </c>
      <c r="Q6" s="109">
        <v>13</v>
      </c>
      <c r="R6" s="109">
        <v>14</v>
      </c>
      <c r="S6" s="9">
        <v>15</v>
      </c>
      <c r="T6" s="10">
        <v>16</v>
      </c>
      <c r="U6" s="109">
        <v>17</v>
      </c>
      <c r="V6" s="109">
        <v>18</v>
      </c>
      <c r="W6" s="109">
        <v>19</v>
      </c>
      <c r="X6" s="109">
        <v>20</v>
      </c>
      <c r="Y6" s="109">
        <v>21</v>
      </c>
      <c r="Z6" s="9">
        <v>22</v>
      </c>
      <c r="AA6" s="10">
        <v>23</v>
      </c>
      <c r="AB6" s="109">
        <v>24</v>
      </c>
      <c r="AC6" s="109">
        <v>25</v>
      </c>
      <c r="AD6" s="109">
        <v>26</v>
      </c>
      <c r="AE6" s="109">
        <v>27</v>
      </c>
      <c r="AF6" s="109">
        <v>28</v>
      </c>
      <c r="AG6" s="9">
        <v>29</v>
      </c>
      <c r="AH6" s="10">
        <v>30</v>
      </c>
      <c r="AI6" s="228">
        <v>31</v>
      </c>
      <c r="AJ6" s="152" t="s">
        <v>18</v>
      </c>
    </row>
    <row r="7" spans="2:36" ht="18" customHeight="1" x14ac:dyDescent="0.15">
      <c r="B7" s="181"/>
      <c r="C7" s="183"/>
      <c r="D7" s="185"/>
      <c r="E7" s="236" t="s">
        <v>117</v>
      </c>
      <c r="F7" s="12" t="s">
        <v>118</v>
      </c>
      <c r="G7" s="12" t="s">
        <v>120</v>
      </c>
      <c r="H7" s="12" t="s">
        <v>120</v>
      </c>
      <c r="I7" s="110" t="s">
        <v>119</v>
      </c>
      <c r="J7" s="110" t="s">
        <v>115</v>
      </c>
      <c r="K7" s="110" t="s">
        <v>116</v>
      </c>
      <c r="L7" s="11" t="s">
        <v>117</v>
      </c>
      <c r="M7" s="12" t="s">
        <v>118</v>
      </c>
      <c r="N7" s="12" t="s">
        <v>120</v>
      </c>
      <c r="O7" s="110" t="s">
        <v>114</v>
      </c>
      <c r="P7" s="110" t="s">
        <v>119</v>
      </c>
      <c r="Q7" s="110" t="s">
        <v>115</v>
      </c>
      <c r="R7" s="110" t="s">
        <v>116</v>
      </c>
      <c r="S7" s="11" t="s">
        <v>117</v>
      </c>
      <c r="T7" s="12" t="s">
        <v>118</v>
      </c>
      <c r="U7" s="110" t="s">
        <v>113</v>
      </c>
      <c r="V7" s="110" t="s">
        <v>114</v>
      </c>
      <c r="W7" s="110" t="s">
        <v>119</v>
      </c>
      <c r="X7" s="110" t="s">
        <v>115</v>
      </c>
      <c r="Y7" s="110" t="s">
        <v>116</v>
      </c>
      <c r="Z7" s="11" t="s">
        <v>117</v>
      </c>
      <c r="AA7" s="12" t="s">
        <v>118</v>
      </c>
      <c r="AB7" s="110" t="s">
        <v>113</v>
      </c>
      <c r="AC7" s="110" t="s">
        <v>114</v>
      </c>
      <c r="AD7" s="110" t="s">
        <v>119</v>
      </c>
      <c r="AE7" s="110" t="s">
        <v>115</v>
      </c>
      <c r="AF7" s="110" t="s">
        <v>116</v>
      </c>
      <c r="AG7" s="11" t="s">
        <v>117</v>
      </c>
      <c r="AH7" s="12" t="s">
        <v>118</v>
      </c>
      <c r="AI7" s="229" t="s">
        <v>133</v>
      </c>
      <c r="AJ7" s="153"/>
    </row>
    <row r="8" spans="2:36" ht="20.100000000000001" customHeight="1" x14ac:dyDescent="0.15">
      <c r="B8" s="154" t="s">
        <v>19</v>
      </c>
      <c r="C8" s="155"/>
      <c r="D8" s="156"/>
      <c r="E8" s="124"/>
      <c r="F8" s="13"/>
      <c r="G8" s="13"/>
      <c r="H8" s="13"/>
      <c r="I8" s="111"/>
      <c r="J8" s="111"/>
      <c r="K8" s="111"/>
      <c r="L8" s="13"/>
      <c r="M8" s="13"/>
      <c r="N8" s="13"/>
      <c r="O8" s="111"/>
      <c r="P8" s="111"/>
      <c r="Q8" s="111"/>
      <c r="R8" s="111"/>
      <c r="S8" s="13"/>
      <c r="T8" s="13"/>
      <c r="U8" s="111"/>
      <c r="V8" s="111"/>
      <c r="W8" s="111"/>
      <c r="X8" s="111"/>
      <c r="Y8" s="111"/>
      <c r="Z8" s="13"/>
      <c r="AA8" s="13"/>
      <c r="AB8" s="111"/>
      <c r="AC8" s="111"/>
      <c r="AD8" s="111"/>
      <c r="AE8" s="111"/>
      <c r="AF8" s="111"/>
      <c r="AG8" s="13"/>
      <c r="AH8" s="13"/>
      <c r="AI8" s="111"/>
      <c r="AJ8" s="157">
        <f>SUM(E10:AI10)</f>
        <v>0</v>
      </c>
    </row>
    <row r="9" spans="2:36" ht="20.100000000000001" customHeight="1" x14ac:dyDescent="0.15">
      <c r="B9" s="158" t="s">
        <v>20</v>
      </c>
      <c r="C9" s="159"/>
      <c r="D9" s="160"/>
      <c r="E9" s="125"/>
      <c r="F9" s="14"/>
      <c r="G9" s="132"/>
      <c r="H9" s="14"/>
      <c r="I9" s="112"/>
      <c r="J9" s="112"/>
      <c r="K9" s="112"/>
      <c r="L9" s="14"/>
      <c r="M9" s="14"/>
      <c r="N9" s="14"/>
      <c r="O9" s="112"/>
      <c r="P9" s="112"/>
      <c r="Q9" s="112"/>
      <c r="R9" s="112"/>
      <c r="S9" s="14"/>
      <c r="T9" s="14"/>
      <c r="U9" s="112"/>
      <c r="V9" s="112"/>
      <c r="W9" s="112"/>
      <c r="X9" s="133"/>
      <c r="Y9" s="123"/>
      <c r="Z9" s="14"/>
      <c r="AA9" s="14"/>
      <c r="AB9" s="112"/>
      <c r="AC9" s="112"/>
      <c r="AD9" s="112"/>
      <c r="AE9" s="112"/>
      <c r="AF9" s="112"/>
      <c r="AG9" s="14"/>
      <c r="AH9" s="14"/>
      <c r="AI9" s="112"/>
      <c r="AJ9" s="157"/>
    </row>
    <row r="10" spans="2:36" ht="20.100000000000001" customHeight="1" thickBot="1" x14ac:dyDescent="0.2">
      <c r="B10" s="161" t="s">
        <v>21</v>
      </c>
      <c r="C10" s="162"/>
      <c r="D10" s="163"/>
      <c r="E10" s="126"/>
      <c r="F10" s="15"/>
      <c r="G10" s="15"/>
      <c r="H10" s="15"/>
      <c r="I10" s="113"/>
      <c r="J10" s="113"/>
      <c r="K10" s="113"/>
      <c r="L10" s="15"/>
      <c r="M10" s="15"/>
      <c r="N10" s="15"/>
      <c r="O10" s="113"/>
      <c r="P10" s="113"/>
      <c r="Q10" s="113"/>
      <c r="R10" s="113"/>
      <c r="S10" s="15"/>
      <c r="T10" s="15"/>
      <c r="U10" s="113"/>
      <c r="V10" s="113"/>
      <c r="W10" s="113"/>
      <c r="X10" s="113"/>
      <c r="Y10" s="113"/>
      <c r="Z10" s="15"/>
      <c r="AA10" s="15"/>
      <c r="AB10" s="113"/>
      <c r="AC10" s="113"/>
      <c r="AD10" s="113"/>
      <c r="AE10" s="113"/>
      <c r="AF10" s="113"/>
      <c r="AG10" s="15"/>
      <c r="AH10" s="15"/>
      <c r="AI10" s="113"/>
      <c r="AJ10" s="157"/>
    </row>
    <row r="11" spans="2:36" ht="20.100000000000001" customHeight="1" thickBot="1" x14ac:dyDescent="0.2">
      <c r="B11" s="164" t="s">
        <v>17</v>
      </c>
      <c r="C11" s="165"/>
      <c r="D11" s="166"/>
      <c r="E11" s="127"/>
      <c r="F11" s="104"/>
      <c r="G11" s="104"/>
      <c r="H11" s="104"/>
      <c r="I11" s="114"/>
      <c r="J11" s="114"/>
      <c r="K11" s="114"/>
      <c r="L11" s="104"/>
      <c r="M11" s="104"/>
      <c r="N11" s="104"/>
      <c r="O11" s="114"/>
      <c r="P11" s="114"/>
      <c r="Q11" s="114"/>
      <c r="R11" s="114"/>
      <c r="S11" s="104"/>
      <c r="T11" s="104"/>
      <c r="U11" s="114"/>
      <c r="V11" s="114"/>
      <c r="W11" s="114"/>
      <c r="X11" s="114"/>
      <c r="Y11" s="114"/>
      <c r="Z11" s="104"/>
      <c r="AA11" s="104"/>
      <c r="AB11" s="114"/>
      <c r="AC11" s="114"/>
      <c r="AD11" s="114"/>
      <c r="AE11" s="114"/>
      <c r="AF11" s="114"/>
      <c r="AG11" s="104"/>
      <c r="AH11" s="104"/>
      <c r="AI11" s="230"/>
      <c r="AJ11" s="29">
        <f>SUM(E11:AI11)</f>
        <v>0</v>
      </c>
    </row>
    <row r="12" spans="2:36" ht="21.95" customHeight="1" x14ac:dyDescent="0.15">
      <c r="B12" s="167" t="s">
        <v>22</v>
      </c>
      <c r="C12" s="142" t="s">
        <v>23</v>
      </c>
      <c r="D12" s="143"/>
      <c r="E12" s="128"/>
      <c r="F12" s="16"/>
      <c r="G12" s="16"/>
      <c r="H12" s="16"/>
      <c r="I12" s="115"/>
      <c r="J12" s="115"/>
      <c r="K12" s="115"/>
      <c r="L12" s="16"/>
      <c r="M12" s="16"/>
      <c r="N12" s="16"/>
      <c r="O12" s="115"/>
      <c r="P12" s="115"/>
      <c r="Q12" s="115"/>
      <c r="R12" s="115"/>
      <c r="S12" s="16"/>
      <c r="T12" s="16"/>
      <c r="U12" s="115"/>
      <c r="V12" s="115"/>
      <c r="W12" s="115"/>
      <c r="X12" s="115"/>
      <c r="Y12" s="115"/>
      <c r="Z12" s="16"/>
      <c r="AA12" s="16"/>
      <c r="AB12" s="115"/>
      <c r="AC12" s="115"/>
      <c r="AD12" s="115"/>
      <c r="AE12" s="115"/>
      <c r="AF12" s="115"/>
      <c r="AG12" s="16"/>
      <c r="AH12" s="16"/>
      <c r="AI12" s="231"/>
      <c r="AJ12" s="22">
        <f t="shared" ref="AJ12:AJ18" si="0">SUM(E12:AI12)</f>
        <v>0</v>
      </c>
    </row>
    <row r="13" spans="2:36" ht="21.95" customHeight="1" x14ac:dyDescent="0.15">
      <c r="B13" s="168"/>
      <c r="C13" s="134" t="s">
        <v>24</v>
      </c>
      <c r="D13" s="135"/>
      <c r="E13" s="129"/>
      <c r="F13" s="18"/>
      <c r="G13" s="18"/>
      <c r="H13" s="18"/>
      <c r="I13" s="116"/>
      <c r="J13" s="116"/>
      <c r="K13" s="116"/>
      <c r="L13" s="18"/>
      <c r="M13" s="18"/>
      <c r="N13" s="18"/>
      <c r="O13" s="116"/>
      <c r="P13" s="116"/>
      <c r="Q13" s="116"/>
      <c r="R13" s="116"/>
      <c r="S13" s="18"/>
      <c r="T13" s="18"/>
      <c r="U13" s="116"/>
      <c r="V13" s="116"/>
      <c r="W13" s="116"/>
      <c r="X13" s="116"/>
      <c r="Y13" s="116"/>
      <c r="Z13" s="18"/>
      <c r="AA13" s="18"/>
      <c r="AB13" s="116"/>
      <c r="AC13" s="116"/>
      <c r="AD13" s="116"/>
      <c r="AE13" s="116"/>
      <c r="AF13" s="116"/>
      <c r="AG13" s="18"/>
      <c r="AH13" s="18"/>
      <c r="AI13" s="232"/>
      <c r="AJ13" s="17">
        <f t="shared" si="0"/>
        <v>0</v>
      </c>
    </row>
    <row r="14" spans="2:36" ht="21.95" customHeight="1" x14ac:dyDescent="0.15">
      <c r="B14" s="169"/>
      <c r="C14" s="136" t="s">
        <v>25</v>
      </c>
      <c r="D14" s="137"/>
      <c r="E14" s="129"/>
      <c r="F14" s="18"/>
      <c r="G14" s="18"/>
      <c r="H14" s="18"/>
      <c r="I14" s="116"/>
      <c r="J14" s="116"/>
      <c r="K14" s="116"/>
      <c r="L14" s="18"/>
      <c r="M14" s="18"/>
      <c r="N14" s="18"/>
      <c r="O14" s="116"/>
      <c r="P14" s="116"/>
      <c r="Q14" s="116"/>
      <c r="R14" s="116"/>
      <c r="S14" s="18"/>
      <c r="T14" s="18"/>
      <c r="U14" s="116"/>
      <c r="V14" s="116"/>
      <c r="W14" s="116"/>
      <c r="X14" s="116"/>
      <c r="Y14" s="116"/>
      <c r="Z14" s="18"/>
      <c r="AA14" s="18"/>
      <c r="AB14" s="116"/>
      <c r="AC14" s="116"/>
      <c r="AD14" s="116"/>
      <c r="AE14" s="116"/>
      <c r="AF14" s="116"/>
      <c r="AG14" s="18"/>
      <c r="AH14" s="18"/>
      <c r="AI14" s="232"/>
      <c r="AJ14" s="17">
        <f t="shared" si="0"/>
        <v>0</v>
      </c>
    </row>
    <row r="15" spans="2:36" ht="21.95" customHeight="1" x14ac:dyDescent="0.15">
      <c r="B15" s="169"/>
      <c r="C15" s="136" t="s">
        <v>26</v>
      </c>
      <c r="D15" s="137"/>
      <c r="E15" s="129"/>
      <c r="F15" s="18"/>
      <c r="G15" s="18"/>
      <c r="H15" s="18"/>
      <c r="I15" s="116"/>
      <c r="J15" s="116"/>
      <c r="K15" s="116"/>
      <c r="L15" s="18"/>
      <c r="M15" s="18"/>
      <c r="N15" s="18"/>
      <c r="O15" s="116"/>
      <c r="P15" s="116"/>
      <c r="Q15" s="116"/>
      <c r="R15" s="116"/>
      <c r="S15" s="18"/>
      <c r="T15" s="18"/>
      <c r="U15" s="116"/>
      <c r="V15" s="116"/>
      <c r="W15" s="116"/>
      <c r="X15" s="116"/>
      <c r="Y15" s="116"/>
      <c r="Z15" s="18"/>
      <c r="AA15" s="18"/>
      <c r="AB15" s="116"/>
      <c r="AC15" s="116"/>
      <c r="AD15" s="116"/>
      <c r="AE15" s="116"/>
      <c r="AF15" s="116"/>
      <c r="AG15" s="18"/>
      <c r="AH15" s="18"/>
      <c r="AI15" s="232"/>
      <c r="AJ15" s="17">
        <f t="shared" si="0"/>
        <v>0</v>
      </c>
    </row>
    <row r="16" spans="2:36" ht="21.95" customHeight="1" thickBot="1" x14ac:dyDescent="0.2">
      <c r="B16" s="170"/>
      <c r="C16" s="140" t="s">
        <v>27</v>
      </c>
      <c r="D16" s="141"/>
      <c r="E16" s="130"/>
      <c r="F16" s="19"/>
      <c r="G16" s="19"/>
      <c r="H16" s="19"/>
      <c r="I16" s="117"/>
      <c r="J16" s="117"/>
      <c r="K16" s="117"/>
      <c r="L16" s="19"/>
      <c r="M16" s="19"/>
      <c r="N16" s="19"/>
      <c r="O16" s="117"/>
      <c r="P16" s="117"/>
      <c r="Q16" s="117"/>
      <c r="R16" s="117"/>
      <c r="S16" s="18"/>
      <c r="T16" s="18"/>
      <c r="U16" s="116"/>
      <c r="V16" s="117"/>
      <c r="W16" s="117"/>
      <c r="X16" s="117"/>
      <c r="Y16" s="117"/>
      <c r="Z16" s="19"/>
      <c r="AA16" s="19"/>
      <c r="AB16" s="117"/>
      <c r="AC16" s="117"/>
      <c r="AD16" s="117"/>
      <c r="AE16" s="117"/>
      <c r="AF16" s="117"/>
      <c r="AG16" s="19"/>
      <c r="AH16" s="19"/>
      <c r="AI16" s="233"/>
      <c r="AJ16" s="20">
        <f t="shared" si="0"/>
        <v>0</v>
      </c>
    </row>
    <row r="17" spans="1:36" ht="21.95" customHeight="1" x14ac:dyDescent="0.15">
      <c r="B17" s="171" t="s">
        <v>28</v>
      </c>
      <c r="C17" s="142" t="s">
        <v>29</v>
      </c>
      <c r="D17" s="143"/>
      <c r="E17" s="128"/>
      <c r="F17" s="16"/>
      <c r="G17" s="16"/>
      <c r="H17" s="16"/>
      <c r="I17" s="115"/>
      <c r="J17" s="115"/>
      <c r="K17" s="115"/>
      <c r="L17" s="16"/>
      <c r="M17" s="16"/>
      <c r="N17" s="16"/>
      <c r="O17" s="115"/>
      <c r="P17" s="115"/>
      <c r="Q17" s="115"/>
      <c r="R17" s="115"/>
      <c r="S17" s="16"/>
      <c r="T17" s="16"/>
      <c r="U17" s="115"/>
      <c r="V17" s="115"/>
      <c r="W17" s="115"/>
      <c r="X17" s="115"/>
      <c r="Y17" s="115"/>
      <c r="Z17" s="16"/>
      <c r="AA17" s="16"/>
      <c r="AB17" s="115"/>
      <c r="AC17" s="115"/>
      <c r="AD17" s="115"/>
      <c r="AE17" s="115"/>
      <c r="AF17" s="115"/>
      <c r="AG17" s="16"/>
      <c r="AH17" s="16"/>
      <c r="AI17" s="231"/>
      <c r="AJ17" s="21">
        <f t="shared" si="0"/>
        <v>0</v>
      </c>
    </row>
    <row r="18" spans="1:36" ht="21.95" customHeight="1" x14ac:dyDescent="0.15">
      <c r="B18" s="168"/>
      <c r="C18" s="134" t="s">
        <v>30</v>
      </c>
      <c r="D18" s="135"/>
      <c r="E18" s="129"/>
      <c r="F18" s="18"/>
      <c r="G18" s="18"/>
      <c r="H18" s="18"/>
      <c r="I18" s="116"/>
      <c r="J18" s="116"/>
      <c r="K18" s="116"/>
      <c r="L18" s="18"/>
      <c r="M18" s="18"/>
      <c r="N18" s="18"/>
      <c r="O18" s="116"/>
      <c r="P18" s="116"/>
      <c r="Q18" s="116"/>
      <c r="R18" s="116"/>
      <c r="S18" s="18"/>
      <c r="T18" s="18"/>
      <c r="U18" s="116"/>
      <c r="V18" s="116"/>
      <c r="W18" s="116"/>
      <c r="X18" s="116"/>
      <c r="Y18" s="116"/>
      <c r="Z18" s="18"/>
      <c r="AA18" s="18"/>
      <c r="AB18" s="116"/>
      <c r="AC18" s="116"/>
      <c r="AD18" s="116"/>
      <c r="AE18" s="116"/>
      <c r="AF18" s="116"/>
      <c r="AG18" s="18"/>
      <c r="AH18" s="18"/>
      <c r="AI18" s="232"/>
      <c r="AJ18" s="22">
        <f t="shared" si="0"/>
        <v>0</v>
      </c>
    </row>
    <row r="19" spans="1:36" ht="21.95" customHeight="1" x14ac:dyDescent="0.15">
      <c r="B19" s="168"/>
      <c r="C19" s="134" t="s">
        <v>31</v>
      </c>
      <c r="D19" s="135"/>
      <c r="E19" s="129"/>
      <c r="F19" s="18"/>
      <c r="G19" s="18"/>
      <c r="H19" s="18"/>
      <c r="I19" s="116"/>
      <c r="J19" s="116"/>
      <c r="K19" s="116"/>
      <c r="L19" s="18"/>
      <c r="M19" s="18"/>
      <c r="N19" s="18"/>
      <c r="O19" s="116"/>
      <c r="P19" s="116"/>
      <c r="Q19" s="116"/>
      <c r="R19" s="116"/>
      <c r="S19" s="18"/>
      <c r="T19" s="18"/>
      <c r="U19" s="116"/>
      <c r="V19" s="116"/>
      <c r="W19" s="116"/>
      <c r="X19" s="116"/>
      <c r="Y19" s="116"/>
      <c r="Z19" s="18"/>
      <c r="AA19" s="18"/>
      <c r="AB19" s="116"/>
      <c r="AC19" s="116"/>
      <c r="AD19" s="116"/>
      <c r="AE19" s="116"/>
      <c r="AF19" s="116"/>
      <c r="AG19" s="18"/>
      <c r="AH19" s="18"/>
      <c r="AI19" s="232"/>
      <c r="AJ19" s="23">
        <f>COUNTA(E19:AI19)</f>
        <v>0</v>
      </c>
    </row>
    <row r="20" spans="1:36" ht="21.95" customHeight="1" thickBot="1" x14ac:dyDescent="0.2">
      <c r="B20" s="170"/>
      <c r="C20" s="140" t="s">
        <v>32</v>
      </c>
      <c r="D20" s="141"/>
      <c r="E20" s="130"/>
      <c r="F20" s="19"/>
      <c r="G20" s="19"/>
      <c r="H20" s="19"/>
      <c r="I20" s="117"/>
      <c r="J20" s="117"/>
      <c r="K20" s="117"/>
      <c r="L20" s="19"/>
      <c r="M20" s="19"/>
      <c r="N20" s="19"/>
      <c r="O20" s="117"/>
      <c r="P20" s="117"/>
      <c r="Q20" s="117"/>
      <c r="R20" s="117"/>
      <c r="S20" s="19"/>
      <c r="T20" s="19"/>
      <c r="U20" s="117"/>
      <c r="V20" s="117"/>
      <c r="W20" s="117"/>
      <c r="X20" s="117"/>
      <c r="Y20" s="117"/>
      <c r="Z20" s="19"/>
      <c r="AA20" s="19"/>
      <c r="AB20" s="117"/>
      <c r="AC20" s="117"/>
      <c r="AD20" s="117"/>
      <c r="AE20" s="117"/>
      <c r="AF20" s="117"/>
      <c r="AG20" s="19"/>
      <c r="AH20" s="19"/>
      <c r="AI20" s="233"/>
      <c r="AJ20" s="24">
        <f>COUNTA(E20:AI20)</f>
        <v>0</v>
      </c>
    </row>
    <row r="21" spans="1:36" ht="21.95" customHeight="1" x14ac:dyDescent="0.15">
      <c r="A21" s="25">
        <v>1</v>
      </c>
      <c r="B21" s="138" t="s">
        <v>90</v>
      </c>
      <c r="C21" s="139"/>
      <c r="D21" s="121" t="s">
        <v>90</v>
      </c>
      <c r="E21" s="128"/>
      <c r="F21" s="16"/>
      <c r="G21" s="16"/>
      <c r="H21" s="16"/>
      <c r="I21" s="115"/>
      <c r="J21" s="115"/>
      <c r="K21" s="115"/>
      <c r="L21" s="16"/>
      <c r="M21" s="16"/>
      <c r="N21" s="16"/>
      <c r="O21" s="115"/>
      <c r="P21" s="115"/>
      <c r="Q21" s="115"/>
      <c r="R21" s="115"/>
      <c r="S21" s="16"/>
      <c r="T21" s="16"/>
      <c r="U21" s="115"/>
      <c r="V21" s="115"/>
      <c r="W21" s="115"/>
      <c r="X21" s="115"/>
      <c r="Y21" s="115"/>
      <c r="Z21" s="16"/>
      <c r="AA21" s="16"/>
      <c r="AB21" s="115"/>
      <c r="AC21" s="115"/>
      <c r="AD21" s="115"/>
      <c r="AE21" s="115"/>
      <c r="AF21" s="115"/>
      <c r="AG21" s="16"/>
      <c r="AH21" s="16"/>
      <c r="AI21" s="231"/>
      <c r="AJ21" s="21">
        <f t="shared" ref="AJ21:AJ30" si="1">SUM(E21:AI21)</f>
        <v>0</v>
      </c>
    </row>
    <row r="22" spans="1:36" ht="21.95" customHeight="1" x14ac:dyDescent="0.15">
      <c r="A22" s="26">
        <v>2</v>
      </c>
      <c r="B22" s="138" t="s">
        <v>90</v>
      </c>
      <c r="C22" s="139"/>
      <c r="D22" s="121" t="s">
        <v>90</v>
      </c>
      <c r="E22" s="129"/>
      <c r="F22" s="18"/>
      <c r="G22" s="18"/>
      <c r="H22" s="18"/>
      <c r="I22" s="116"/>
      <c r="J22" s="116"/>
      <c r="K22" s="116"/>
      <c r="L22" s="18"/>
      <c r="M22" s="18"/>
      <c r="N22" s="18"/>
      <c r="O22" s="116"/>
      <c r="P22" s="116"/>
      <c r="Q22" s="116"/>
      <c r="R22" s="116"/>
      <c r="S22" s="18"/>
      <c r="T22" s="18"/>
      <c r="U22" s="116"/>
      <c r="V22" s="116"/>
      <c r="W22" s="116"/>
      <c r="X22" s="116"/>
      <c r="Y22" s="116"/>
      <c r="Z22" s="18"/>
      <c r="AA22" s="18"/>
      <c r="AB22" s="116"/>
      <c r="AC22" s="116"/>
      <c r="AD22" s="116"/>
      <c r="AE22" s="116"/>
      <c r="AF22" s="116"/>
      <c r="AG22" s="18"/>
      <c r="AH22" s="18"/>
      <c r="AI22" s="232"/>
      <c r="AJ22" s="17">
        <f t="shared" si="1"/>
        <v>0</v>
      </c>
    </row>
    <row r="23" spans="1:36" ht="21.95" customHeight="1" x14ac:dyDescent="0.15">
      <c r="A23" s="26">
        <v>3</v>
      </c>
      <c r="B23" s="147" t="s">
        <v>90</v>
      </c>
      <c r="C23" s="148"/>
      <c r="D23" s="121" t="s">
        <v>90</v>
      </c>
      <c r="E23" s="129"/>
      <c r="F23" s="18"/>
      <c r="G23" s="18"/>
      <c r="H23" s="18"/>
      <c r="I23" s="116"/>
      <c r="J23" s="116"/>
      <c r="K23" s="116"/>
      <c r="L23" s="18"/>
      <c r="M23" s="18"/>
      <c r="N23" s="18"/>
      <c r="O23" s="116"/>
      <c r="P23" s="116"/>
      <c r="Q23" s="116"/>
      <c r="R23" s="116"/>
      <c r="S23" s="18"/>
      <c r="T23" s="18"/>
      <c r="U23" s="116"/>
      <c r="V23" s="116"/>
      <c r="W23" s="116"/>
      <c r="X23" s="116"/>
      <c r="Y23" s="116"/>
      <c r="Z23" s="18"/>
      <c r="AA23" s="18"/>
      <c r="AB23" s="116"/>
      <c r="AC23" s="116"/>
      <c r="AD23" s="116"/>
      <c r="AE23" s="116"/>
      <c r="AF23" s="116"/>
      <c r="AG23" s="18"/>
      <c r="AH23" s="18"/>
      <c r="AI23" s="232"/>
      <c r="AJ23" s="17">
        <f t="shared" si="1"/>
        <v>0</v>
      </c>
    </row>
    <row r="24" spans="1:36" ht="21.95" customHeight="1" x14ac:dyDescent="0.15">
      <c r="A24" s="26">
        <v>4</v>
      </c>
      <c r="B24" s="147" t="s">
        <v>90</v>
      </c>
      <c r="C24" s="148"/>
      <c r="D24" s="121" t="s">
        <v>90</v>
      </c>
      <c r="E24" s="129"/>
      <c r="F24" s="18"/>
      <c r="G24" s="18"/>
      <c r="H24" s="18"/>
      <c r="I24" s="116"/>
      <c r="J24" s="116"/>
      <c r="K24" s="116"/>
      <c r="L24" s="18"/>
      <c r="M24" s="18"/>
      <c r="N24" s="18"/>
      <c r="O24" s="116"/>
      <c r="P24" s="116"/>
      <c r="Q24" s="116"/>
      <c r="R24" s="116"/>
      <c r="S24" s="18"/>
      <c r="T24" s="18"/>
      <c r="U24" s="116"/>
      <c r="V24" s="116"/>
      <c r="W24" s="116"/>
      <c r="X24" s="116"/>
      <c r="Y24" s="116"/>
      <c r="Z24" s="18"/>
      <c r="AA24" s="18"/>
      <c r="AB24" s="116"/>
      <c r="AC24" s="116"/>
      <c r="AD24" s="116"/>
      <c r="AE24" s="116"/>
      <c r="AF24" s="116"/>
      <c r="AG24" s="18"/>
      <c r="AH24" s="18"/>
      <c r="AI24" s="232"/>
      <c r="AJ24" s="17">
        <f t="shared" si="1"/>
        <v>0</v>
      </c>
    </row>
    <row r="25" spans="1:36" ht="21.95" customHeight="1" x14ac:dyDescent="0.15">
      <c r="A25" s="26">
        <v>5</v>
      </c>
      <c r="B25" s="147" t="s">
        <v>90</v>
      </c>
      <c r="C25" s="148"/>
      <c r="D25" s="121" t="s">
        <v>90</v>
      </c>
      <c r="E25" s="129"/>
      <c r="F25" s="18"/>
      <c r="G25" s="18"/>
      <c r="H25" s="18"/>
      <c r="I25" s="116"/>
      <c r="J25" s="116"/>
      <c r="K25" s="116"/>
      <c r="L25" s="18"/>
      <c r="M25" s="18"/>
      <c r="N25" s="18"/>
      <c r="O25" s="116"/>
      <c r="P25" s="116"/>
      <c r="Q25" s="116"/>
      <c r="R25" s="116"/>
      <c r="S25" s="18"/>
      <c r="T25" s="18"/>
      <c r="U25" s="116"/>
      <c r="V25" s="116"/>
      <c r="W25" s="116"/>
      <c r="X25" s="116"/>
      <c r="Y25" s="116"/>
      <c r="Z25" s="18"/>
      <c r="AA25" s="18"/>
      <c r="AB25" s="116"/>
      <c r="AC25" s="116"/>
      <c r="AD25" s="116"/>
      <c r="AE25" s="116"/>
      <c r="AF25" s="116"/>
      <c r="AG25" s="18"/>
      <c r="AH25" s="18"/>
      <c r="AI25" s="232"/>
      <c r="AJ25" s="17">
        <f t="shared" si="1"/>
        <v>0</v>
      </c>
    </row>
    <row r="26" spans="1:36" ht="21.95" customHeight="1" x14ac:dyDescent="0.15">
      <c r="A26" s="26">
        <v>6</v>
      </c>
      <c r="B26" s="147" t="s">
        <v>90</v>
      </c>
      <c r="C26" s="148"/>
      <c r="D26" s="121" t="s">
        <v>90</v>
      </c>
      <c r="E26" s="129"/>
      <c r="F26" s="18"/>
      <c r="G26" s="18"/>
      <c r="H26" s="18"/>
      <c r="I26" s="116"/>
      <c r="J26" s="116"/>
      <c r="K26" s="116"/>
      <c r="L26" s="18"/>
      <c r="M26" s="18"/>
      <c r="N26" s="18"/>
      <c r="O26" s="116"/>
      <c r="P26" s="116"/>
      <c r="Q26" s="116"/>
      <c r="R26" s="116"/>
      <c r="S26" s="18"/>
      <c r="T26" s="18"/>
      <c r="U26" s="116"/>
      <c r="V26" s="116"/>
      <c r="W26" s="116"/>
      <c r="X26" s="116"/>
      <c r="Y26" s="116"/>
      <c r="Z26" s="18"/>
      <c r="AA26" s="18"/>
      <c r="AB26" s="116"/>
      <c r="AC26" s="116"/>
      <c r="AD26" s="116"/>
      <c r="AE26" s="116"/>
      <c r="AF26" s="116"/>
      <c r="AG26" s="18"/>
      <c r="AH26" s="18"/>
      <c r="AI26" s="232"/>
      <c r="AJ26" s="17">
        <f t="shared" si="1"/>
        <v>0</v>
      </c>
    </row>
    <row r="27" spans="1:36" ht="21.95" customHeight="1" x14ac:dyDescent="0.15">
      <c r="A27" s="26">
        <v>7</v>
      </c>
      <c r="B27" s="147" t="s">
        <v>90</v>
      </c>
      <c r="C27" s="148"/>
      <c r="D27" s="121" t="s">
        <v>90</v>
      </c>
      <c r="E27" s="129"/>
      <c r="F27" s="18"/>
      <c r="G27" s="18"/>
      <c r="H27" s="18"/>
      <c r="I27" s="116"/>
      <c r="J27" s="116"/>
      <c r="K27" s="116"/>
      <c r="L27" s="18"/>
      <c r="M27" s="18"/>
      <c r="N27" s="18"/>
      <c r="O27" s="116"/>
      <c r="P27" s="116"/>
      <c r="Q27" s="116"/>
      <c r="R27" s="116"/>
      <c r="S27" s="18"/>
      <c r="T27" s="18"/>
      <c r="U27" s="116"/>
      <c r="V27" s="116"/>
      <c r="W27" s="116"/>
      <c r="X27" s="116"/>
      <c r="Y27" s="116"/>
      <c r="Z27" s="18"/>
      <c r="AA27" s="18"/>
      <c r="AB27" s="116"/>
      <c r="AC27" s="116"/>
      <c r="AD27" s="116"/>
      <c r="AE27" s="116"/>
      <c r="AF27" s="116"/>
      <c r="AG27" s="18"/>
      <c r="AH27" s="18"/>
      <c r="AI27" s="232"/>
      <c r="AJ27" s="17">
        <f t="shared" si="1"/>
        <v>0</v>
      </c>
    </row>
    <row r="28" spans="1:36" ht="21.95" customHeight="1" x14ac:dyDescent="0.15">
      <c r="A28" s="26">
        <v>8</v>
      </c>
      <c r="B28" s="147" t="s">
        <v>90</v>
      </c>
      <c r="C28" s="148"/>
      <c r="D28" s="121" t="s">
        <v>90</v>
      </c>
      <c r="E28" s="129"/>
      <c r="F28" s="18"/>
      <c r="G28" s="18"/>
      <c r="H28" s="18"/>
      <c r="I28" s="116"/>
      <c r="J28" s="116"/>
      <c r="K28" s="116"/>
      <c r="L28" s="18"/>
      <c r="M28" s="18"/>
      <c r="N28" s="18"/>
      <c r="O28" s="116"/>
      <c r="P28" s="116"/>
      <c r="Q28" s="116"/>
      <c r="R28" s="116"/>
      <c r="S28" s="18"/>
      <c r="T28" s="18"/>
      <c r="U28" s="116"/>
      <c r="V28" s="116"/>
      <c r="W28" s="116"/>
      <c r="X28" s="116"/>
      <c r="Y28" s="116"/>
      <c r="Z28" s="18"/>
      <c r="AA28" s="18"/>
      <c r="AB28" s="116"/>
      <c r="AC28" s="116"/>
      <c r="AD28" s="116"/>
      <c r="AE28" s="116"/>
      <c r="AF28" s="116"/>
      <c r="AG28" s="18"/>
      <c r="AH28" s="18"/>
      <c r="AI28" s="232"/>
      <c r="AJ28" s="17">
        <f t="shared" si="1"/>
        <v>0</v>
      </c>
    </row>
    <row r="29" spans="1:36" ht="21.95" customHeight="1" x14ac:dyDescent="0.15">
      <c r="A29" s="26">
        <v>9</v>
      </c>
      <c r="B29" s="147" t="s">
        <v>90</v>
      </c>
      <c r="C29" s="148"/>
      <c r="D29" s="121" t="s">
        <v>90</v>
      </c>
      <c r="E29" s="129"/>
      <c r="F29" s="18"/>
      <c r="G29" s="18"/>
      <c r="H29" s="18"/>
      <c r="I29" s="116"/>
      <c r="J29" s="116"/>
      <c r="K29" s="116"/>
      <c r="L29" s="18"/>
      <c r="M29" s="18"/>
      <c r="N29" s="18"/>
      <c r="O29" s="116"/>
      <c r="P29" s="116"/>
      <c r="Q29" s="116"/>
      <c r="R29" s="116"/>
      <c r="S29" s="18"/>
      <c r="T29" s="18"/>
      <c r="U29" s="116"/>
      <c r="V29" s="116"/>
      <c r="W29" s="116"/>
      <c r="X29" s="116"/>
      <c r="Y29" s="116"/>
      <c r="Z29" s="18"/>
      <c r="AA29" s="18"/>
      <c r="AB29" s="116"/>
      <c r="AC29" s="116"/>
      <c r="AD29" s="116"/>
      <c r="AE29" s="116"/>
      <c r="AF29" s="116"/>
      <c r="AG29" s="18"/>
      <c r="AH29" s="18"/>
      <c r="AI29" s="232"/>
      <c r="AJ29" s="17">
        <f t="shared" si="1"/>
        <v>0</v>
      </c>
    </row>
    <row r="30" spans="1:36" ht="21.95" customHeight="1" thickBot="1" x14ac:dyDescent="0.2">
      <c r="A30" s="27">
        <v>10</v>
      </c>
      <c r="B30" s="147" t="s">
        <v>90</v>
      </c>
      <c r="C30" s="148"/>
      <c r="D30" s="121" t="s">
        <v>90</v>
      </c>
      <c r="E30" s="130"/>
      <c r="F30" s="19"/>
      <c r="G30" s="19"/>
      <c r="H30" s="19"/>
      <c r="I30" s="117"/>
      <c r="J30" s="117"/>
      <c r="K30" s="117"/>
      <c r="L30" s="19"/>
      <c r="M30" s="19"/>
      <c r="N30" s="19"/>
      <c r="O30" s="117"/>
      <c r="P30" s="117"/>
      <c r="Q30" s="117"/>
      <c r="R30" s="117"/>
      <c r="S30" s="19"/>
      <c r="T30" s="19"/>
      <c r="U30" s="117"/>
      <c r="V30" s="117"/>
      <c r="W30" s="117"/>
      <c r="X30" s="117"/>
      <c r="Y30" s="117"/>
      <c r="Z30" s="19"/>
      <c r="AA30" s="19"/>
      <c r="AB30" s="117"/>
      <c r="AC30" s="117"/>
      <c r="AD30" s="117"/>
      <c r="AE30" s="117"/>
      <c r="AF30" s="117"/>
      <c r="AG30" s="19"/>
      <c r="AH30" s="19"/>
      <c r="AI30" s="233"/>
      <c r="AJ30" s="20">
        <f t="shared" si="1"/>
        <v>0</v>
      </c>
    </row>
    <row r="31" spans="1:36" ht="24" customHeight="1" thickBot="1" x14ac:dyDescent="0.2">
      <c r="B31" s="149" t="s">
        <v>18</v>
      </c>
      <c r="C31" s="150"/>
      <c r="D31" s="151"/>
      <c r="E31" s="131">
        <f>SUM(E21:E30)+E18+E17+E16+E15+E14+E13+E12</f>
        <v>0</v>
      </c>
      <c r="F31" s="28">
        <f>SUM(F21:F30)+F18+F17+F16+F15+F14+F13+F12</f>
        <v>0</v>
      </c>
      <c r="G31" s="28">
        <f>SUM(G21:G30)+G18+G17+G16+G15+G14+G13+G12</f>
        <v>0</v>
      </c>
      <c r="H31" s="28">
        <f>SUM(H21:H30)+H18+H17+H16+H15+H14+H13+H12</f>
        <v>0</v>
      </c>
      <c r="I31" s="118">
        <f>SUM(I21:I30)+I18+I17+I16+I15+I14+I13+I12</f>
        <v>0</v>
      </c>
      <c r="J31" s="118">
        <f>SUM(J21:J30)+J18+J17+J16+J15+J14+J13+J12</f>
        <v>0</v>
      </c>
      <c r="K31" s="118">
        <f>SUM(K21:K30)+K18+K17+K16+K15+K14+K13+K12</f>
        <v>0</v>
      </c>
      <c r="L31" s="28">
        <f>SUM(L21:L30)+L18+L17+L16+L15+L14+L13+L12</f>
        <v>0</v>
      </c>
      <c r="M31" s="28">
        <f>SUM(M21:M30)+M18+M17+M16+M15+M14+M13+M12</f>
        <v>0</v>
      </c>
      <c r="N31" s="28">
        <f>SUM(N21:N30)+N18+N17+N16+N15+N14+N13+N12</f>
        <v>0</v>
      </c>
      <c r="O31" s="118">
        <f>SUM(O21:O30)+O18+O17+O16+O15+O14+O13+O12</f>
        <v>0</v>
      </c>
      <c r="P31" s="118">
        <f>SUM(P21:P30)+P18+P17+P16+P15+P14+P13+P12</f>
        <v>0</v>
      </c>
      <c r="Q31" s="118">
        <f>SUM(Q21:Q30)+Q18+Q17+Q16+Q15+Q14+Q13+Q12</f>
        <v>0</v>
      </c>
      <c r="R31" s="118">
        <f>SUM(R21:R30)+R18+R17+R16+R15+R14+R13+R12</f>
        <v>0</v>
      </c>
      <c r="S31" s="28">
        <f>SUM(S21:S30)+S18+S17+S16+S15+S14+S13+S12</f>
        <v>0</v>
      </c>
      <c r="T31" s="28">
        <f>SUM(T21:T30)+T18+T17+T16+T15+T14+T13+T12</f>
        <v>0</v>
      </c>
      <c r="U31" s="118">
        <f>SUM(U21:U30)+U18+U17+U16+U15+U14+U13+U12</f>
        <v>0</v>
      </c>
      <c r="V31" s="118">
        <f>SUM(V21:V30)+V18+V17+V16+V15+V14+V13+V12</f>
        <v>0</v>
      </c>
      <c r="W31" s="118">
        <f>SUM(W21:W30)+W18+W17+W16+W15+W14+W13+W12</f>
        <v>0</v>
      </c>
      <c r="X31" s="118">
        <f>SUM(X21:X30)+X18+X17+X16+X15+X14+X13+X12</f>
        <v>0</v>
      </c>
      <c r="Y31" s="118">
        <f>SUM(Y21:Y30)+Y18+Y17+Y16+Y15+Y14+Y13+Y12</f>
        <v>0</v>
      </c>
      <c r="Z31" s="28">
        <f>SUM(Z21:Z30)+Z18+Z17+Z16+Z15+Z14+Z13+Z12</f>
        <v>0</v>
      </c>
      <c r="AA31" s="28">
        <f>SUM(AA21:AA30)+AA18+AA17+AA16+AA15+AA14+AA13+AA12</f>
        <v>0</v>
      </c>
      <c r="AB31" s="118">
        <f>SUM(AB21:AB30)+AB18+AB17+AB16+AB15+AB14+AB13+AB12</f>
        <v>0</v>
      </c>
      <c r="AC31" s="118">
        <f>SUM(AC21:AC30)+AC18+AC17+AC16+AC15+AC14+AC13+AC12</f>
        <v>0</v>
      </c>
      <c r="AD31" s="118">
        <f>SUM(AD21:AD30)+AD18+AD17+AD16+AD15+AD14+AD13+AD12</f>
        <v>0</v>
      </c>
      <c r="AE31" s="118">
        <f>SUM(AE21:AE30)+AE18+AE17+AE16+AE15+AE14+AE13+AE12</f>
        <v>0</v>
      </c>
      <c r="AF31" s="118">
        <f>SUM(AF21:AF30)+AF18+AF17+AF16+AF15+AF14+AF13+AF12</f>
        <v>0</v>
      </c>
      <c r="AG31" s="28">
        <f>SUM(AG21:AG30)+AG18+AG17+AG16+AG15+AG14+AG13+AG12</f>
        <v>0</v>
      </c>
      <c r="AH31" s="28">
        <f>SUM(AH21:AH30)+AH18+AH17+AH16+AH15+AH14+AH13+AH12</f>
        <v>0</v>
      </c>
      <c r="AI31" s="234">
        <f>SUM(AI21:AI30)+AI18+AI17+AI16+AI15+AI14+AI13+AI12</f>
        <v>0</v>
      </c>
      <c r="AJ31" s="29">
        <f>SUM(AJ21:AJ30)</f>
        <v>0</v>
      </c>
    </row>
    <row r="32" spans="1:36" s="30" customFormat="1" ht="20.100000000000001" customHeight="1" x14ac:dyDescent="0.15">
      <c r="B32" s="31" t="s">
        <v>33</v>
      </c>
      <c r="C32" s="30" t="s">
        <v>34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</row>
    <row r="33" spans="2:35" ht="18" customHeight="1" x14ac:dyDescent="0.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</row>
    <row r="34" spans="2:35" ht="18" customHeight="1" x14ac:dyDescent="0.15">
      <c r="B34" s="34"/>
      <c r="C34" s="34"/>
      <c r="E34" s="119" t="s">
        <v>35</v>
      </c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</row>
    <row r="35" spans="2:35" ht="99.75" customHeight="1" x14ac:dyDescent="0.15">
      <c r="B35" s="35"/>
      <c r="C35" s="36"/>
      <c r="D35" s="37"/>
      <c r="E35" s="144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  <c r="AA35" s="145"/>
      <c r="AB35" s="145"/>
      <c r="AC35" s="145"/>
      <c r="AD35" s="146"/>
      <c r="AE35" s="33"/>
      <c r="AF35" s="33"/>
      <c r="AG35" s="33"/>
      <c r="AH35" s="33"/>
      <c r="AI35" s="33"/>
    </row>
    <row r="36" spans="2:35" ht="18" customHeight="1" x14ac:dyDescent="0.15">
      <c r="B36" s="35"/>
      <c r="C36" s="34"/>
      <c r="D36" s="34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</row>
    <row r="37" spans="2:35" ht="18" customHeight="1" x14ac:dyDescent="0.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</row>
    <row r="38" spans="2:35" ht="18" customHeight="1" x14ac:dyDescent="0.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</row>
    <row r="39" spans="2:35" ht="18" customHeight="1" x14ac:dyDescent="0.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</row>
    <row r="40" spans="2:35" ht="18" customHeight="1" x14ac:dyDescent="0.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</row>
    <row r="41" spans="2:35" ht="18" customHeight="1" x14ac:dyDescent="0.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</row>
    <row r="42" spans="2:35" ht="18" customHeight="1" x14ac:dyDescent="0.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</row>
    <row r="43" spans="2:35" ht="18" customHeight="1" x14ac:dyDescent="0.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</row>
  </sheetData>
  <dataConsolidate/>
  <mergeCells count="67">
    <mergeCell ref="B3:C3"/>
    <mergeCell ref="D3:E3"/>
    <mergeCell ref="F3:G3"/>
    <mergeCell ref="H3:L3"/>
    <mergeCell ref="N3:O3"/>
    <mergeCell ref="B1:F2"/>
    <mergeCell ref="G1:H2"/>
    <mergeCell ref="I1:I2"/>
    <mergeCell ref="J1:J2"/>
    <mergeCell ref="K1:K2"/>
    <mergeCell ref="AF1:AG1"/>
    <mergeCell ref="AH1:AI1"/>
    <mergeCell ref="N2:O2"/>
    <mergeCell ref="P2:R2"/>
    <mergeCell ref="X2:Y2"/>
    <mergeCell ref="Z2:AB2"/>
    <mergeCell ref="AD2:AE4"/>
    <mergeCell ref="AF2:AG4"/>
    <mergeCell ref="AH2:AI4"/>
    <mergeCell ref="S3:T3"/>
    <mergeCell ref="AD1:AE1"/>
    <mergeCell ref="U3:W3"/>
    <mergeCell ref="X3:Y3"/>
    <mergeCell ref="Z3:AB3"/>
    <mergeCell ref="P4:R4"/>
    <mergeCell ref="P3:R3"/>
    <mergeCell ref="U4:W4"/>
    <mergeCell ref="X4:Y4"/>
    <mergeCell ref="Z4:AB4"/>
    <mergeCell ref="B6:B7"/>
    <mergeCell ref="C6:C7"/>
    <mergeCell ref="D6:D7"/>
    <mergeCell ref="B4:C4"/>
    <mergeCell ref="D4:E4"/>
    <mergeCell ref="F4:G4"/>
    <mergeCell ref="H4:L4"/>
    <mergeCell ref="S4:T4"/>
    <mergeCell ref="N4:O4"/>
    <mergeCell ref="B24:C24"/>
    <mergeCell ref="B30:C30"/>
    <mergeCell ref="B25:C25"/>
    <mergeCell ref="B31:D31"/>
    <mergeCell ref="AJ6:AJ7"/>
    <mergeCell ref="B8:D8"/>
    <mergeCell ref="AJ8:AJ10"/>
    <mergeCell ref="B9:D9"/>
    <mergeCell ref="B10:D10"/>
    <mergeCell ref="C12:D12"/>
    <mergeCell ref="B11:D11"/>
    <mergeCell ref="B12:B16"/>
    <mergeCell ref="B17:B20"/>
    <mergeCell ref="C18:D18"/>
    <mergeCell ref="B23:C23"/>
    <mergeCell ref="C16:D16"/>
    <mergeCell ref="E35:AD35"/>
    <mergeCell ref="B26:C26"/>
    <mergeCell ref="B27:C27"/>
    <mergeCell ref="B28:C28"/>
    <mergeCell ref="B29:C29"/>
    <mergeCell ref="C13:D13"/>
    <mergeCell ref="C14:D14"/>
    <mergeCell ref="C15:D15"/>
    <mergeCell ref="B21:C21"/>
    <mergeCell ref="B22:C22"/>
    <mergeCell ref="C19:D19"/>
    <mergeCell ref="C20:D20"/>
    <mergeCell ref="C17:D17"/>
  </mergeCells>
  <phoneticPr fontId="3"/>
  <pageMargins left="0.39370078740157483" right="0.19685039370078741" top="0.59055118110236227" bottom="0.47244094488188981" header="0.51181102362204722" footer="0.31496062992125984"/>
  <pageSetup paperSize="9" scale="69" fitToWidth="0" orientation="landscape" r:id="rId1"/>
  <headerFooter alignWithMargins="0">
    <oddHeader>&amp;L様式-Ⅰ</oddHeader>
  </headerFooter>
  <rowBreaks count="1" manualBreakCount="1">
    <brk id="33" max="3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選択Dlg1">
                <anchor moveWithCells="1" siz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選択Dlg2">
                <anchor moveWithCells="1" siz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選択Dlg3">
                <anchor moveWithCells="1" siz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選択Dlg4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選択Dlg5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選択Dlg6">
                <anchor moveWithCells="1" siz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選択Dlg7">
                <anchor moveWithCells="1" siz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選択Dlg8">
                <anchor moveWithCells="1" siz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選択Dlg9">
                <anchor moveWithCells="1" siz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選択Dlg10">
                <anchor moveWithCells="1" siz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35"/>
  <sheetViews>
    <sheetView workbookViewId="0">
      <selection activeCell="E8" sqref="E8"/>
    </sheetView>
  </sheetViews>
  <sheetFormatPr defaultRowHeight="13.5" x14ac:dyDescent="0.15"/>
  <cols>
    <col min="1" max="5" width="15.375" customWidth="1"/>
    <col min="6" max="6" width="16" customWidth="1"/>
  </cols>
  <sheetData>
    <row r="1" spans="1:6" ht="14.25" thickBot="1" x14ac:dyDescent="0.2">
      <c r="A1" s="103" t="s">
        <v>89</v>
      </c>
    </row>
    <row r="2" spans="1:6" ht="25.5" customHeight="1" x14ac:dyDescent="0.15">
      <c r="A2" s="108" t="s">
        <v>36</v>
      </c>
      <c r="B2" s="106"/>
      <c r="C2" s="106"/>
      <c r="D2" s="106"/>
      <c r="E2" s="107"/>
      <c r="F2" s="38" t="s">
        <v>37</v>
      </c>
    </row>
    <row r="3" spans="1:6" x14ac:dyDescent="0.15">
      <c r="A3" s="39">
        <v>1</v>
      </c>
      <c r="B3" s="40">
        <v>2</v>
      </c>
      <c r="C3" s="40">
        <v>3</v>
      </c>
      <c r="D3" s="40">
        <v>4</v>
      </c>
      <c r="E3" s="42">
        <v>8</v>
      </c>
      <c r="F3" s="43" t="s">
        <v>101</v>
      </c>
    </row>
    <row r="4" spans="1:6" x14ac:dyDescent="0.15">
      <c r="A4" s="39">
        <v>12</v>
      </c>
      <c r="B4" s="40"/>
      <c r="C4" s="40"/>
      <c r="D4" s="41"/>
      <c r="E4" s="42"/>
      <c r="F4" s="43" t="s">
        <v>102</v>
      </c>
    </row>
    <row r="5" spans="1:6" x14ac:dyDescent="0.15">
      <c r="A5" s="39">
        <v>21</v>
      </c>
      <c r="B5" s="40"/>
      <c r="C5" s="40"/>
      <c r="D5" s="41"/>
      <c r="E5" s="42"/>
      <c r="F5" s="43" t="s">
        <v>103</v>
      </c>
    </row>
    <row r="6" spans="1:6" x14ac:dyDescent="0.15">
      <c r="A6" s="39">
        <v>30</v>
      </c>
      <c r="B6" s="40"/>
      <c r="C6" s="40"/>
      <c r="D6" s="41"/>
      <c r="E6" s="42"/>
      <c r="F6" s="43" t="s">
        <v>104</v>
      </c>
    </row>
    <row r="7" spans="1:6" x14ac:dyDescent="0.15">
      <c r="A7" s="39">
        <v>3</v>
      </c>
      <c r="B7" s="40">
        <v>4</v>
      </c>
      <c r="C7" s="40"/>
      <c r="D7" s="41"/>
      <c r="E7" s="42"/>
      <c r="F7" s="43" t="s">
        <v>105</v>
      </c>
    </row>
    <row r="8" spans="1:6" x14ac:dyDescent="0.15">
      <c r="A8" s="39"/>
      <c r="B8" s="40"/>
      <c r="C8" s="40"/>
      <c r="D8" s="41"/>
      <c r="E8" s="42"/>
      <c r="F8" s="44" t="s">
        <v>106</v>
      </c>
    </row>
    <row r="9" spans="1:6" x14ac:dyDescent="0.15">
      <c r="A9" s="39">
        <v>16</v>
      </c>
      <c r="B9" s="40"/>
      <c r="C9" s="40"/>
      <c r="D9" s="41"/>
      <c r="E9" s="42"/>
      <c r="F9" s="44" t="s">
        <v>107</v>
      </c>
    </row>
    <row r="10" spans="1:6" x14ac:dyDescent="0.15">
      <c r="A10" s="39"/>
      <c r="B10" s="40"/>
      <c r="C10" s="40"/>
      <c r="D10" s="41"/>
      <c r="E10" s="42"/>
      <c r="F10" s="44" t="s">
        <v>108</v>
      </c>
    </row>
    <row r="11" spans="1:6" x14ac:dyDescent="0.15">
      <c r="A11" s="39">
        <v>16</v>
      </c>
      <c r="B11" s="40">
        <v>23</v>
      </c>
      <c r="C11" s="40"/>
      <c r="D11" s="41"/>
      <c r="E11" s="42"/>
      <c r="F11" s="44" t="s">
        <v>109</v>
      </c>
    </row>
    <row r="12" spans="1:6" x14ac:dyDescent="0.15">
      <c r="A12" s="39">
        <v>8</v>
      </c>
      <c r="B12" s="40"/>
      <c r="C12" s="40"/>
      <c r="D12" s="41"/>
      <c r="E12" s="42"/>
      <c r="F12" s="44" t="s">
        <v>110</v>
      </c>
    </row>
    <row r="13" spans="1:6" x14ac:dyDescent="0.15">
      <c r="A13" s="39">
        <v>23</v>
      </c>
      <c r="B13" s="40"/>
      <c r="C13" s="40"/>
      <c r="D13" s="41"/>
      <c r="E13" s="42"/>
      <c r="F13" s="44" t="s">
        <v>111</v>
      </c>
    </row>
    <row r="14" spans="1:6" ht="14.25" thickBot="1" x14ac:dyDescent="0.2">
      <c r="A14" s="45">
        <v>24</v>
      </c>
      <c r="B14" s="46">
        <v>31</v>
      </c>
      <c r="C14" s="46"/>
      <c r="D14" s="47"/>
      <c r="E14" s="48"/>
      <c r="F14" s="49" t="s">
        <v>112</v>
      </c>
    </row>
    <row r="15" spans="1:6" x14ac:dyDescent="0.15">
      <c r="B15" s="50"/>
      <c r="C15" s="50"/>
    </row>
    <row r="16" spans="1:6" x14ac:dyDescent="0.15">
      <c r="B16" s="50"/>
      <c r="C16" s="50"/>
    </row>
    <row r="17" spans="2:3" x14ac:dyDescent="0.15">
      <c r="B17" s="50"/>
      <c r="C17" s="50"/>
    </row>
    <row r="18" spans="2:3" x14ac:dyDescent="0.15">
      <c r="B18" s="50"/>
      <c r="C18" s="50"/>
    </row>
    <row r="19" spans="2:3" x14ac:dyDescent="0.15">
      <c r="B19" s="51"/>
      <c r="C19" s="51"/>
    </row>
    <row r="20" spans="2:3" x14ac:dyDescent="0.15">
      <c r="B20" s="52"/>
      <c r="C20" s="52"/>
    </row>
    <row r="21" spans="2:3" x14ac:dyDescent="0.15">
      <c r="B21" s="50"/>
      <c r="C21" s="50"/>
    </row>
    <row r="22" spans="2:3" x14ac:dyDescent="0.15">
      <c r="B22" s="50"/>
      <c r="C22" s="50"/>
    </row>
    <row r="23" spans="2:3" x14ac:dyDescent="0.15">
      <c r="B23" s="50"/>
      <c r="C23" s="50"/>
    </row>
    <row r="24" spans="2:3" x14ac:dyDescent="0.15">
      <c r="B24" s="50"/>
      <c r="C24" s="50"/>
    </row>
    <row r="25" spans="2:3" x14ac:dyDescent="0.15">
      <c r="B25" s="50"/>
      <c r="C25" s="50"/>
    </row>
    <row r="26" spans="2:3" x14ac:dyDescent="0.15">
      <c r="B26" s="51"/>
      <c r="C26" s="51"/>
    </row>
    <row r="27" spans="2:3" x14ac:dyDescent="0.15">
      <c r="B27" s="52"/>
      <c r="C27" s="52"/>
    </row>
    <row r="28" spans="2:3" x14ac:dyDescent="0.15">
      <c r="B28" s="50"/>
      <c r="C28" s="50"/>
    </row>
    <row r="29" spans="2:3" x14ac:dyDescent="0.15">
      <c r="B29" s="50"/>
      <c r="C29" s="50"/>
    </row>
    <row r="30" spans="2:3" x14ac:dyDescent="0.15">
      <c r="B30" s="50"/>
      <c r="C30" s="50"/>
    </row>
    <row r="31" spans="2:3" x14ac:dyDescent="0.15">
      <c r="B31" s="50"/>
      <c r="C31" s="50"/>
    </row>
    <row r="32" spans="2:3" x14ac:dyDescent="0.15">
      <c r="B32" s="50"/>
      <c r="C32" s="50"/>
    </row>
    <row r="33" spans="2:3" x14ac:dyDescent="0.15">
      <c r="B33" s="51"/>
      <c r="C33" s="51"/>
    </row>
    <row r="34" spans="2:3" x14ac:dyDescent="0.15">
      <c r="B34" s="52"/>
      <c r="C34" s="52"/>
    </row>
    <row r="35" spans="2:3" x14ac:dyDescent="0.15">
      <c r="B35" s="50"/>
      <c r="C35" s="50"/>
    </row>
  </sheetData>
  <phoneticPr fontId="3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8"/>
  <sheetViews>
    <sheetView workbookViewId="0"/>
  </sheetViews>
  <sheetFormatPr defaultRowHeight="13.5" x14ac:dyDescent="0.15"/>
  <cols>
    <col min="1" max="2" width="31.375" customWidth="1"/>
  </cols>
  <sheetData>
    <row r="1" spans="1:7" x14ac:dyDescent="0.15">
      <c r="A1" s="53" t="s">
        <v>38</v>
      </c>
      <c r="B1" s="54" t="s">
        <v>39</v>
      </c>
    </row>
    <row r="2" spans="1:7" x14ac:dyDescent="0.15">
      <c r="A2" s="55">
        <v>0.5</v>
      </c>
      <c r="B2" s="56">
        <v>0.54166666666666663</v>
      </c>
    </row>
    <row r="3" spans="1:7" x14ac:dyDescent="0.15">
      <c r="A3" s="55"/>
      <c r="B3" s="56"/>
    </row>
    <row r="4" spans="1:7" x14ac:dyDescent="0.15">
      <c r="A4" s="55"/>
      <c r="B4" s="56"/>
    </row>
    <row r="5" spans="1:7" x14ac:dyDescent="0.15">
      <c r="A5" s="55"/>
      <c r="B5" s="56"/>
    </row>
    <row r="6" spans="1:7" x14ac:dyDescent="0.15">
      <c r="A6" s="55"/>
      <c r="B6" s="56"/>
    </row>
    <row r="7" spans="1:7" x14ac:dyDescent="0.15">
      <c r="A7" s="55"/>
      <c r="B7" s="56"/>
    </row>
    <row r="8" spans="1:7" ht="14.25" thickBot="1" x14ac:dyDescent="0.2">
      <c r="A8" s="57"/>
      <c r="B8" s="58"/>
      <c r="G8" s="59"/>
    </row>
  </sheetData>
  <phoneticPr fontId="3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C22"/>
  <sheetViews>
    <sheetView workbookViewId="0">
      <selection activeCell="C29" sqref="C29"/>
    </sheetView>
  </sheetViews>
  <sheetFormatPr defaultRowHeight="13.5" x14ac:dyDescent="0.15"/>
  <cols>
    <col min="2" max="2" width="17.875" style="77" customWidth="1"/>
    <col min="3" max="3" width="47" customWidth="1"/>
  </cols>
  <sheetData>
    <row r="1" spans="1:3" x14ac:dyDescent="0.15">
      <c r="A1" s="60" t="s">
        <v>40</v>
      </c>
      <c r="B1" s="61" t="s">
        <v>41</v>
      </c>
      <c r="C1" s="62" t="s">
        <v>42</v>
      </c>
    </row>
    <row r="2" spans="1:3" x14ac:dyDescent="0.15">
      <c r="A2" s="63">
        <v>1</v>
      </c>
      <c r="B2" s="64"/>
      <c r="C2" s="65"/>
    </row>
    <row r="3" spans="1:3" x14ac:dyDescent="0.15">
      <c r="A3" s="63">
        <v>2</v>
      </c>
      <c r="B3" s="64"/>
      <c r="C3" s="65"/>
    </row>
    <row r="4" spans="1:3" x14ac:dyDescent="0.15">
      <c r="A4" s="63">
        <v>3</v>
      </c>
      <c r="B4" s="64"/>
      <c r="C4" s="65"/>
    </row>
    <row r="5" spans="1:3" x14ac:dyDescent="0.15">
      <c r="A5" s="63">
        <v>4</v>
      </c>
      <c r="B5" s="64"/>
      <c r="C5" s="65"/>
    </row>
    <row r="6" spans="1:3" x14ac:dyDescent="0.15">
      <c r="A6" s="63">
        <v>5</v>
      </c>
      <c r="B6" s="64"/>
      <c r="C6" s="65"/>
    </row>
    <row r="7" spans="1:3" x14ac:dyDescent="0.15">
      <c r="A7" s="63">
        <v>6</v>
      </c>
      <c r="B7" s="64"/>
      <c r="C7" s="65"/>
    </row>
    <row r="8" spans="1:3" x14ac:dyDescent="0.15">
      <c r="A8" s="63">
        <v>7</v>
      </c>
      <c r="B8" s="64"/>
      <c r="C8" s="65"/>
    </row>
    <row r="9" spans="1:3" x14ac:dyDescent="0.15">
      <c r="A9" s="63">
        <v>8</v>
      </c>
      <c r="B9" s="64"/>
      <c r="C9" s="65"/>
    </row>
    <row r="10" spans="1:3" x14ac:dyDescent="0.15">
      <c r="A10" s="63">
        <v>9</v>
      </c>
      <c r="B10" s="64"/>
      <c r="C10" s="65"/>
    </row>
    <row r="11" spans="1:3" x14ac:dyDescent="0.15">
      <c r="A11" s="63">
        <v>10</v>
      </c>
      <c r="B11" s="64"/>
      <c r="C11" s="65"/>
    </row>
    <row r="12" spans="1:3" x14ac:dyDescent="0.15">
      <c r="A12" s="66">
        <v>11</v>
      </c>
      <c r="B12" s="64"/>
      <c r="C12" s="65"/>
    </row>
    <row r="13" spans="1:3" x14ac:dyDescent="0.15">
      <c r="A13" s="67">
        <v>12</v>
      </c>
      <c r="B13" s="68"/>
      <c r="C13" s="69"/>
    </row>
    <row r="14" spans="1:3" x14ac:dyDescent="0.15">
      <c r="A14" s="70">
        <v>13</v>
      </c>
      <c r="B14" s="71"/>
      <c r="C14" s="72"/>
    </row>
    <row r="15" spans="1:3" x14ac:dyDescent="0.15">
      <c r="A15" s="70">
        <v>14</v>
      </c>
      <c r="B15" s="71"/>
      <c r="C15" s="72"/>
    </row>
    <row r="16" spans="1:3" ht="14.25" thickBot="1" x14ac:dyDescent="0.2">
      <c r="A16" s="73">
        <v>15</v>
      </c>
      <c r="B16" s="74"/>
      <c r="C16" s="75"/>
    </row>
    <row r="17" spans="1:1" x14ac:dyDescent="0.15">
      <c r="A17" s="76"/>
    </row>
    <row r="18" spans="1:1" x14ac:dyDescent="0.15">
      <c r="A18" s="76"/>
    </row>
    <row r="19" spans="1:1" x14ac:dyDescent="0.15">
      <c r="A19" s="76"/>
    </row>
    <row r="20" spans="1:1" x14ac:dyDescent="0.15">
      <c r="A20" s="76"/>
    </row>
    <row r="21" spans="1:1" x14ac:dyDescent="0.15">
      <c r="A21" s="76"/>
    </row>
    <row r="22" spans="1:1" x14ac:dyDescent="0.15">
      <c r="A22" s="76"/>
    </row>
  </sheetData>
  <dataConsolidate/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C35"/>
  <sheetViews>
    <sheetView workbookViewId="0">
      <selection activeCell="E31" sqref="E31"/>
    </sheetView>
  </sheetViews>
  <sheetFormatPr defaultRowHeight="13.5" x14ac:dyDescent="0.15"/>
  <cols>
    <col min="1" max="1" width="7.25" customWidth="1"/>
    <col min="2" max="2" width="9.75" style="98" customWidth="1"/>
    <col min="3" max="3" width="28.375" customWidth="1"/>
  </cols>
  <sheetData>
    <row r="1" spans="1:3" x14ac:dyDescent="0.15">
      <c r="A1" s="78" t="s">
        <v>43</v>
      </c>
      <c r="B1" s="79" t="s">
        <v>44</v>
      </c>
      <c r="C1" s="80" t="s">
        <v>45</v>
      </c>
    </row>
    <row r="2" spans="1:3" x14ac:dyDescent="0.15">
      <c r="A2" s="81">
        <v>1</v>
      </c>
      <c r="B2" s="82">
        <v>101</v>
      </c>
      <c r="C2" s="83" t="s">
        <v>46</v>
      </c>
    </row>
    <row r="3" spans="1:3" x14ac:dyDescent="0.15">
      <c r="A3" s="84">
        <v>2</v>
      </c>
      <c r="B3" s="85">
        <v>102</v>
      </c>
      <c r="C3" s="86" t="s">
        <v>47</v>
      </c>
    </row>
    <row r="4" spans="1:3" x14ac:dyDescent="0.15">
      <c r="A4" s="84">
        <v>3</v>
      </c>
      <c r="B4" s="85">
        <v>103</v>
      </c>
      <c r="C4" s="86" t="s">
        <v>48</v>
      </c>
    </row>
    <row r="5" spans="1:3" x14ac:dyDescent="0.15">
      <c r="A5" s="87">
        <v>4</v>
      </c>
      <c r="B5" s="88">
        <v>201</v>
      </c>
      <c r="C5" s="89" t="s">
        <v>49</v>
      </c>
    </row>
    <row r="6" spans="1:3" x14ac:dyDescent="0.15">
      <c r="A6" s="84">
        <v>5</v>
      </c>
      <c r="B6" s="85">
        <v>202</v>
      </c>
      <c r="C6" s="86" t="s">
        <v>50</v>
      </c>
    </row>
    <row r="7" spans="1:3" x14ac:dyDescent="0.15">
      <c r="A7" s="84">
        <v>6</v>
      </c>
      <c r="B7" s="85">
        <v>209</v>
      </c>
      <c r="C7" s="86" t="s">
        <v>51</v>
      </c>
    </row>
    <row r="8" spans="1:3" x14ac:dyDescent="0.15">
      <c r="A8" s="84">
        <v>7</v>
      </c>
      <c r="B8" s="85">
        <v>211</v>
      </c>
      <c r="C8" s="86" t="s">
        <v>52</v>
      </c>
    </row>
    <row r="9" spans="1:3" x14ac:dyDescent="0.15">
      <c r="A9" s="84">
        <v>8</v>
      </c>
      <c r="B9" s="85">
        <v>212</v>
      </c>
      <c r="C9" s="86" t="s">
        <v>53</v>
      </c>
    </row>
    <row r="10" spans="1:3" x14ac:dyDescent="0.15">
      <c r="A10" s="84">
        <v>9</v>
      </c>
      <c r="B10" s="85">
        <v>213</v>
      </c>
      <c r="C10" s="86" t="s">
        <v>54</v>
      </c>
    </row>
    <row r="11" spans="1:3" x14ac:dyDescent="0.15">
      <c r="A11" s="84">
        <v>10</v>
      </c>
      <c r="B11" s="85">
        <v>219</v>
      </c>
      <c r="C11" s="86" t="s">
        <v>55</v>
      </c>
    </row>
    <row r="12" spans="1:3" x14ac:dyDescent="0.15">
      <c r="A12" s="84">
        <v>11</v>
      </c>
      <c r="B12" s="85">
        <v>221</v>
      </c>
      <c r="C12" s="86" t="s">
        <v>56</v>
      </c>
    </row>
    <row r="13" spans="1:3" x14ac:dyDescent="0.15">
      <c r="A13" s="84">
        <v>12</v>
      </c>
      <c r="B13" s="85">
        <v>222</v>
      </c>
      <c r="C13" s="86" t="s">
        <v>57</v>
      </c>
    </row>
    <row r="14" spans="1:3" x14ac:dyDescent="0.15">
      <c r="A14" s="84">
        <v>13</v>
      </c>
      <c r="B14" s="85">
        <v>223</v>
      </c>
      <c r="C14" s="86" t="s">
        <v>58</v>
      </c>
    </row>
    <row r="15" spans="1:3" x14ac:dyDescent="0.15">
      <c r="A15" s="85">
        <v>14</v>
      </c>
      <c r="B15" s="85">
        <v>229</v>
      </c>
      <c r="C15" s="86" t="s">
        <v>59</v>
      </c>
    </row>
    <row r="16" spans="1:3" x14ac:dyDescent="0.15">
      <c r="A16" s="84">
        <v>15</v>
      </c>
      <c r="B16" s="85">
        <v>231</v>
      </c>
      <c r="C16" s="86" t="s">
        <v>60</v>
      </c>
    </row>
    <row r="17" spans="1:3" x14ac:dyDescent="0.15">
      <c r="A17" s="84">
        <v>16</v>
      </c>
      <c r="B17" s="85">
        <v>241</v>
      </c>
      <c r="C17" s="86" t="s">
        <v>61</v>
      </c>
    </row>
    <row r="18" spans="1:3" x14ac:dyDescent="0.15">
      <c r="A18" s="84">
        <v>17</v>
      </c>
      <c r="B18" s="85">
        <v>251</v>
      </c>
      <c r="C18" s="86" t="s">
        <v>62</v>
      </c>
    </row>
    <row r="19" spans="1:3" x14ac:dyDescent="0.15">
      <c r="A19" s="84">
        <v>18</v>
      </c>
      <c r="B19" s="85">
        <v>261</v>
      </c>
      <c r="C19" s="86" t="s">
        <v>63</v>
      </c>
    </row>
    <row r="20" spans="1:3" x14ac:dyDescent="0.15">
      <c r="A20" s="84">
        <v>19</v>
      </c>
      <c r="B20" s="85">
        <v>262</v>
      </c>
      <c r="C20" s="86" t="s">
        <v>64</v>
      </c>
    </row>
    <row r="21" spans="1:3" x14ac:dyDescent="0.15">
      <c r="A21" s="90">
        <v>20</v>
      </c>
      <c r="B21" s="91">
        <v>269</v>
      </c>
      <c r="C21" s="92" t="s">
        <v>65</v>
      </c>
    </row>
    <row r="22" spans="1:3" x14ac:dyDescent="0.15">
      <c r="A22" s="87">
        <v>21</v>
      </c>
      <c r="B22" s="88">
        <v>301</v>
      </c>
      <c r="C22" s="89" t="s">
        <v>66</v>
      </c>
    </row>
    <row r="23" spans="1:3" x14ac:dyDescent="0.15">
      <c r="A23" s="93">
        <v>22</v>
      </c>
      <c r="B23" s="93">
        <v>302</v>
      </c>
      <c r="C23" s="94" t="s">
        <v>67</v>
      </c>
    </row>
    <row r="24" spans="1:3" x14ac:dyDescent="0.15">
      <c r="A24" s="95">
        <v>23</v>
      </c>
      <c r="B24" s="85">
        <v>303</v>
      </c>
      <c r="C24" s="94" t="s">
        <v>68</v>
      </c>
    </row>
    <row r="25" spans="1:3" x14ac:dyDescent="0.15">
      <c r="A25" s="84">
        <v>24</v>
      </c>
      <c r="B25" s="93">
        <v>304</v>
      </c>
      <c r="C25" s="86" t="s">
        <v>69</v>
      </c>
    </row>
    <row r="26" spans="1:3" x14ac:dyDescent="0.15">
      <c r="A26" s="84">
        <v>25</v>
      </c>
      <c r="B26" s="85">
        <v>305</v>
      </c>
      <c r="C26" s="86" t="s">
        <v>70</v>
      </c>
    </row>
    <row r="27" spans="1:3" x14ac:dyDescent="0.15">
      <c r="A27" s="84">
        <v>26</v>
      </c>
      <c r="B27" s="93">
        <v>306</v>
      </c>
      <c r="C27" s="86" t="s">
        <v>71</v>
      </c>
    </row>
    <row r="28" spans="1:3" x14ac:dyDescent="0.15">
      <c r="A28" s="96">
        <v>27</v>
      </c>
      <c r="B28" s="85">
        <v>307</v>
      </c>
      <c r="C28" s="97" t="s">
        <v>72</v>
      </c>
    </row>
    <row r="29" spans="1:3" x14ac:dyDescent="0.15">
      <c r="A29" s="87">
        <v>28</v>
      </c>
      <c r="B29" s="88">
        <v>401</v>
      </c>
      <c r="C29" s="89" t="s">
        <v>73</v>
      </c>
    </row>
    <row r="30" spans="1:3" x14ac:dyDescent="0.15">
      <c r="A30" s="84">
        <v>29</v>
      </c>
      <c r="B30" s="85">
        <v>402</v>
      </c>
      <c r="C30" s="86" t="s">
        <v>74</v>
      </c>
    </row>
    <row r="31" spans="1:3" x14ac:dyDescent="0.15">
      <c r="A31" s="84">
        <v>30</v>
      </c>
      <c r="B31" s="85">
        <v>411</v>
      </c>
      <c r="C31" s="86" t="s">
        <v>75</v>
      </c>
    </row>
    <row r="32" spans="1:3" x14ac:dyDescent="0.15">
      <c r="A32" s="90">
        <v>31</v>
      </c>
      <c r="B32" s="91">
        <v>412</v>
      </c>
      <c r="C32" s="92" t="s">
        <v>76</v>
      </c>
    </row>
    <row r="33" spans="1:3" x14ac:dyDescent="0.15">
      <c r="A33" s="87">
        <v>32</v>
      </c>
      <c r="B33" s="88">
        <v>501</v>
      </c>
      <c r="C33" s="89" t="s">
        <v>77</v>
      </c>
    </row>
    <row r="34" spans="1:3" x14ac:dyDescent="0.15">
      <c r="A34" s="90">
        <v>33</v>
      </c>
      <c r="B34" s="91">
        <v>502</v>
      </c>
      <c r="C34" s="92" t="s">
        <v>78</v>
      </c>
    </row>
    <row r="35" spans="1:3" x14ac:dyDescent="0.15">
      <c r="A35" s="90">
        <v>34</v>
      </c>
      <c r="B35" s="91">
        <v>999</v>
      </c>
      <c r="C35" s="92" t="s">
        <v>79</v>
      </c>
    </row>
  </sheetData>
  <sheetProtection password="E6CB" sheet="1"/>
  <dataConsolidate/>
  <phoneticPr fontId="3"/>
  <pageMargins left="0.75" right="0.75" top="1" bottom="1" header="0.51200000000000001" footer="0.5120000000000000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E23"/>
  <sheetViews>
    <sheetView workbookViewId="0">
      <selection activeCell="D20" sqref="D20"/>
    </sheetView>
  </sheetViews>
  <sheetFormatPr defaultRowHeight="13.5" x14ac:dyDescent="0.15"/>
  <cols>
    <col min="1" max="1" width="6.5" customWidth="1"/>
    <col min="2" max="2" width="27.75" customWidth="1"/>
    <col min="3" max="3" width="15" customWidth="1"/>
    <col min="4" max="4" width="11.625" customWidth="1"/>
    <col min="5" max="5" width="76.25" customWidth="1"/>
  </cols>
  <sheetData>
    <row r="1" spans="1:5" x14ac:dyDescent="0.15">
      <c r="A1" s="103" t="s">
        <v>89</v>
      </c>
    </row>
    <row r="2" spans="1:5" ht="24.75" customHeight="1" x14ac:dyDescent="0.15">
      <c r="A2" s="122" t="s">
        <v>80</v>
      </c>
      <c r="B2" s="122" t="s">
        <v>82</v>
      </c>
      <c r="C2" s="122" t="s">
        <v>85</v>
      </c>
      <c r="D2" s="122" t="s">
        <v>95</v>
      </c>
      <c r="E2" s="122" t="s">
        <v>81</v>
      </c>
    </row>
    <row r="3" spans="1:5" x14ac:dyDescent="0.15">
      <c r="A3" s="100" t="s">
        <v>87</v>
      </c>
      <c r="B3" s="100" t="s">
        <v>83</v>
      </c>
      <c r="C3" s="101" t="s">
        <v>97</v>
      </c>
      <c r="D3" s="101" t="s">
        <v>96</v>
      </c>
      <c r="E3" s="99" t="s">
        <v>88</v>
      </c>
    </row>
    <row r="4" spans="1:5" x14ac:dyDescent="0.15">
      <c r="A4" s="99"/>
      <c r="B4" s="99"/>
      <c r="C4" s="99"/>
      <c r="D4" s="99"/>
      <c r="E4" s="99" t="s">
        <v>84</v>
      </c>
    </row>
    <row r="5" spans="1:5" x14ac:dyDescent="0.15">
      <c r="A5" s="99"/>
      <c r="B5" s="99"/>
      <c r="C5" s="99"/>
      <c r="D5" s="99"/>
      <c r="E5" s="99" t="s">
        <v>98</v>
      </c>
    </row>
    <row r="6" spans="1:5" x14ac:dyDescent="0.15">
      <c r="A6" s="99"/>
      <c r="B6" s="99"/>
      <c r="C6" s="99"/>
      <c r="D6" s="99"/>
      <c r="E6" s="99" t="s">
        <v>99</v>
      </c>
    </row>
    <row r="7" spans="1:5" x14ac:dyDescent="0.15">
      <c r="A7" s="99"/>
      <c r="B7" s="99"/>
      <c r="C7" s="99"/>
      <c r="D7" s="99"/>
      <c r="E7" s="99" t="s">
        <v>94</v>
      </c>
    </row>
    <row r="8" spans="1:5" x14ac:dyDescent="0.15">
      <c r="A8" s="99"/>
      <c r="B8" s="99"/>
      <c r="C8" s="99"/>
      <c r="D8" s="99"/>
      <c r="E8" s="99" t="s">
        <v>86</v>
      </c>
    </row>
    <row r="9" spans="1:5" x14ac:dyDescent="0.15">
      <c r="A9" s="99"/>
      <c r="B9" s="99"/>
      <c r="C9" s="99"/>
      <c r="D9" s="99"/>
      <c r="E9" s="105" t="s">
        <v>100</v>
      </c>
    </row>
    <row r="10" spans="1:5" x14ac:dyDescent="0.15">
      <c r="A10" s="99"/>
      <c r="B10" s="99"/>
      <c r="C10" s="99"/>
      <c r="D10" s="99"/>
      <c r="E10" s="99"/>
    </row>
    <row r="11" spans="1:5" x14ac:dyDescent="0.15">
      <c r="A11" s="99"/>
      <c r="B11" s="99"/>
      <c r="C11" s="99"/>
      <c r="D11" s="99"/>
      <c r="E11" s="99"/>
    </row>
    <row r="12" spans="1:5" x14ac:dyDescent="0.15">
      <c r="A12" s="99"/>
      <c r="B12" s="99"/>
      <c r="C12" s="99"/>
      <c r="D12" s="99"/>
      <c r="E12" s="99"/>
    </row>
    <row r="13" spans="1:5" x14ac:dyDescent="0.15">
      <c r="A13" s="99"/>
      <c r="B13" s="99"/>
      <c r="C13" s="99"/>
      <c r="D13" s="99"/>
      <c r="E13" s="99"/>
    </row>
    <row r="14" spans="1:5" x14ac:dyDescent="0.15">
      <c r="A14" s="99"/>
      <c r="B14" s="99"/>
      <c r="C14" s="99"/>
      <c r="D14" s="99"/>
      <c r="E14" s="99"/>
    </row>
    <row r="15" spans="1:5" x14ac:dyDescent="0.15">
      <c r="A15" s="99"/>
      <c r="B15" s="99"/>
      <c r="C15" s="99"/>
      <c r="D15" s="99"/>
      <c r="E15" s="99"/>
    </row>
    <row r="16" spans="1:5" x14ac:dyDescent="0.15">
      <c r="A16" s="99"/>
      <c r="B16" s="99"/>
      <c r="C16" s="99"/>
      <c r="D16" s="99"/>
      <c r="E16" s="99"/>
    </row>
    <row r="17" spans="1:5" x14ac:dyDescent="0.15">
      <c r="A17" s="99"/>
      <c r="B17" s="99"/>
      <c r="C17" s="99"/>
      <c r="D17" s="99"/>
      <c r="E17" s="99"/>
    </row>
    <row r="18" spans="1:5" x14ac:dyDescent="0.15">
      <c r="A18" s="99"/>
      <c r="B18" s="99"/>
      <c r="C18" s="99"/>
      <c r="D18" s="99"/>
      <c r="E18" s="99"/>
    </row>
    <row r="19" spans="1:5" x14ac:dyDescent="0.15">
      <c r="A19" s="99"/>
      <c r="B19" s="99"/>
      <c r="C19" s="99"/>
      <c r="D19" s="99"/>
      <c r="E19" s="99"/>
    </row>
    <row r="20" spans="1:5" x14ac:dyDescent="0.15">
      <c r="A20" s="99"/>
      <c r="B20" s="99"/>
      <c r="C20" s="99"/>
      <c r="D20" s="99"/>
      <c r="E20" s="99"/>
    </row>
    <row r="21" spans="1:5" x14ac:dyDescent="0.15">
      <c r="A21" s="99"/>
      <c r="B21" s="99"/>
      <c r="C21" s="99"/>
      <c r="D21" s="99"/>
      <c r="E21" s="99"/>
    </row>
    <row r="22" spans="1:5" x14ac:dyDescent="0.15">
      <c r="A22" s="99"/>
      <c r="B22" s="99"/>
      <c r="C22" s="99"/>
      <c r="D22" s="99"/>
      <c r="E22" s="99"/>
    </row>
    <row r="23" spans="1:5" x14ac:dyDescent="0.15">
      <c r="A23" s="99"/>
      <c r="B23" s="99"/>
      <c r="C23" s="99"/>
      <c r="D23" s="99"/>
      <c r="E23" s="99"/>
    </row>
  </sheetData>
  <sheetProtection password="E6CB" sheet="1"/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35"/>
  <sheetViews>
    <sheetView workbookViewId="0">
      <selection activeCell="D20" sqref="D20"/>
    </sheetView>
  </sheetViews>
  <sheetFormatPr defaultRowHeight="13.5" x14ac:dyDescent="0.15"/>
  <cols>
    <col min="1" max="5" width="15.375" customWidth="1"/>
    <col min="6" max="6" width="16" customWidth="1"/>
  </cols>
  <sheetData>
    <row r="1" spans="1:6" ht="14.25" thickBot="1" x14ac:dyDescent="0.2">
      <c r="A1" s="103" t="s">
        <v>89</v>
      </c>
    </row>
    <row r="2" spans="1:6" ht="25.5" customHeight="1" x14ac:dyDescent="0.15">
      <c r="A2" s="108" t="s">
        <v>36</v>
      </c>
      <c r="B2" s="106"/>
      <c r="C2" s="106"/>
      <c r="D2" s="106"/>
      <c r="E2" s="107"/>
      <c r="F2" s="38" t="s">
        <v>37</v>
      </c>
    </row>
    <row r="3" spans="1:6" x14ac:dyDescent="0.15">
      <c r="A3" s="39">
        <v>3</v>
      </c>
      <c r="B3" s="40">
        <v>4</v>
      </c>
      <c r="C3" s="40">
        <v>10</v>
      </c>
      <c r="D3" s="40"/>
      <c r="E3" s="42"/>
      <c r="F3" s="43" t="s">
        <v>121</v>
      </c>
    </row>
    <row r="4" spans="1:6" x14ac:dyDescent="0.15">
      <c r="A4" s="39">
        <v>11</v>
      </c>
      <c r="B4" s="40">
        <v>23</v>
      </c>
      <c r="C4" s="40"/>
      <c r="D4" s="41"/>
      <c r="E4" s="42"/>
      <c r="F4" s="43" t="s">
        <v>122</v>
      </c>
    </row>
    <row r="5" spans="1:6" x14ac:dyDescent="0.15">
      <c r="A5" s="39">
        <v>21</v>
      </c>
      <c r="B5" s="40"/>
      <c r="C5" s="40"/>
      <c r="D5" s="41"/>
      <c r="E5" s="42"/>
      <c r="F5" s="43" t="s">
        <v>123</v>
      </c>
    </row>
    <row r="6" spans="1:6" x14ac:dyDescent="0.15">
      <c r="A6" s="39">
        <v>29</v>
      </c>
      <c r="B6" s="40"/>
      <c r="C6" s="40"/>
      <c r="D6" s="41"/>
      <c r="E6" s="42"/>
      <c r="F6" s="43" t="s">
        <v>124</v>
      </c>
    </row>
    <row r="7" spans="1:6" x14ac:dyDescent="0.15">
      <c r="A7" s="39">
        <v>3</v>
      </c>
      <c r="B7" s="40">
        <v>4</v>
      </c>
      <c r="C7" s="40">
        <v>5</v>
      </c>
      <c r="D7" s="41"/>
      <c r="E7" s="42"/>
      <c r="F7" s="43" t="s">
        <v>125</v>
      </c>
    </row>
    <row r="8" spans="1:6" x14ac:dyDescent="0.15">
      <c r="A8" s="39"/>
      <c r="B8" s="40"/>
      <c r="C8" s="40"/>
      <c r="D8" s="41"/>
      <c r="E8" s="42"/>
      <c r="F8" s="43" t="s">
        <v>126</v>
      </c>
    </row>
    <row r="9" spans="1:6" x14ac:dyDescent="0.15">
      <c r="A9" s="39">
        <v>18</v>
      </c>
      <c r="B9" s="40"/>
      <c r="C9" s="40"/>
      <c r="D9" s="41"/>
      <c r="E9" s="42"/>
      <c r="F9" s="43" t="s">
        <v>127</v>
      </c>
    </row>
    <row r="10" spans="1:6" x14ac:dyDescent="0.15">
      <c r="A10" s="39">
        <v>11</v>
      </c>
      <c r="B10" s="40"/>
      <c r="C10" s="40"/>
      <c r="D10" s="41"/>
      <c r="E10" s="42"/>
      <c r="F10" s="43" t="s">
        <v>128</v>
      </c>
    </row>
    <row r="11" spans="1:6" x14ac:dyDescent="0.15">
      <c r="A11" s="39">
        <v>19</v>
      </c>
      <c r="B11" s="40">
        <v>23</v>
      </c>
      <c r="C11" s="40"/>
      <c r="D11" s="41"/>
      <c r="E11" s="42"/>
      <c r="F11" s="43" t="s">
        <v>129</v>
      </c>
    </row>
    <row r="12" spans="1:6" x14ac:dyDescent="0.15">
      <c r="A12" s="39">
        <v>10</v>
      </c>
      <c r="B12" s="40"/>
      <c r="C12" s="40"/>
      <c r="D12" s="41"/>
      <c r="E12" s="42"/>
      <c r="F12" s="43" t="s">
        <v>130</v>
      </c>
    </row>
    <row r="13" spans="1:6" x14ac:dyDescent="0.15">
      <c r="A13" s="39">
        <v>3</v>
      </c>
      <c r="B13" s="40">
        <v>23</v>
      </c>
      <c r="C13" s="40"/>
      <c r="D13" s="41"/>
      <c r="E13" s="42"/>
      <c r="F13" s="43" t="s">
        <v>131</v>
      </c>
    </row>
    <row r="14" spans="1:6" ht="14.25" thickBot="1" x14ac:dyDescent="0.2">
      <c r="A14" s="45">
        <v>29</v>
      </c>
      <c r="B14" s="46">
        <v>30</v>
      </c>
      <c r="C14" s="46">
        <v>31</v>
      </c>
      <c r="D14" s="47"/>
      <c r="E14" s="48"/>
      <c r="F14" s="43" t="s">
        <v>132</v>
      </c>
    </row>
    <row r="15" spans="1:6" x14ac:dyDescent="0.15">
      <c r="B15" s="50"/>
      <c r="C15" s="50"/>
    </row>
    <row r="16" spans="1:6" x14ac:dyDescent="0.15">
      <c r="B16" s="50"/>
      <c r="C16" s="50"/>
    </row>
    <row r="17" spans="2:3" x14ac:dyDescent="0.15">
      <c r="B17" s="50"/>
      <c r="C17" s="50"/>
    </row>
    <row r="18" spans="2:3" x14ac:dyDescent="0.15">
      <c r="B18" s="50"/>
      <c r="C18" s="50"/>
    </row>
    <row r="19" spans="2:3" x14ac:dyDescent="0.15">
      <c r="B19" s="51"/>
      <c r="C19" s="51"/>
    </row>
    <row r="20" spans="2:3" x14ac:dyDescent="0.15">
      <c r="B20" s="52"/>
      <c r="C20" s="52"/>
    </row>
    <row r="21" spans="2:3" x14ac:dyDescent="0.15">
      <c r="B21" s="50"/>
      <c r="C21" s="50"/>
    </row>
    <row r="22" spans="2:3" x14ac:dyDescent="0.15">
      <c r="B22" s="50"/>
      <c r="C22" s="50"/>
    </row>
    <row r="23" spans="2:3" x14ac:dyDescent="0.15">
      <c r="B23" s="50"/>
      <c r="C23" s="50"/>
    </row>
    <row r="24" spans="2:3" x14ac:dyDescent="0.15">
      <c r="B24" s="50"/>
      <c r="C24" s="50"/>
    </row>
    <row r="25" spans="2:3" x14ac:dyDescent="0.15">
      <c r="B25" s="50"/>
      <c r="C25" s="50"/>
    </row>
    <row r="26" spans="2:3" x14ac:dyDescent="0.15">
      <c r="B26" s="51"/>
      <c r="C26" s="51"/>
    </row>
    <row r="27" spans="2:3" x14ac:dyDescent="0.15">
      <c r="B27" s="52"/>
      <c r="C27" s="52"/>
    </row>
    <row r="28" spans="2:3" x14ac:dyDescent="0.15">
      <c r="B28" s="50"/>
      <c r="C28" s="50"/>
    </row>
    <row r="29" spans="2:3" x14ac:dyDescent="0.15">
      <c r="B29" s="50"/>
      <c r="C29" s="50"/>
    </row>
    <row r="30" spans="2:3" x14ac:dyDescent="0.15">
      <c r="B30" s="50"/>
      <c r="C30" s="50"/>
    </row>
    <row r="31" spans="2:3" x14ac:dyDescent="0.15">
      <c r="B31" s="50"/>
      <c r="C31" s="50"/>
    </row>
    <row r="32" spans="2:3" x14ac:dyDescent="0.15">
      <c r="B32" s="50"/>
      <c r="C32" s="50"/>
    </row>
    <row r="33" spans="2:3" x14ac:dyDescent="0.15">
      <c r="B33" s="51"/>
      <c r="C33" s="51"/>
    </row>
    <row r="34" spans="2:3" x14ac:dyDescent="0.15">
      <c r="B34" s="52"/>
      <c r="C34" s="52"/>
    </row>
    <row r="35" spans="2:3" x14ac:dyDescent="0.15">
      <c r="B35" s="50"/>
      <c r="C35" s="50"/>
    </row>
  </sheetData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お名前</vt:lpstr>
      <vt:lpstr>祝日2018</vt:lpstr>
      <vt:lpstr>休憩時間</vt:lpstr>
      <vt:lpstr>プロジェクト番号</vt:lpstr>
      <vt:lpstr>作業コード</vt:lpstr>
      <vt:lpstr>改訂履歴</vt:lpstr>
      <vt:lpstr>祝日</vt:lpstr>
      <vt:lpstr>お名前!Print_Area</vt:lpstr>
    </vt:vector>
  </TitlesOfParts>
  <Company>FJ-WORK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nebit</dc:creator>
  <cp:lastModifiedBy>飯山武史</cp:lastModifiedBy>
  <cp:lastPrinted>2022-10-26T03:07:55Z</cp:lastPrinted>
  <dcterms:created xsi:type="dcterms:W3CDTF">2016-01-10T01:21:53Z</dcterms:created>
  <dcterms:modified xsi:type="dcterms:W3CDTF">2022-10-26T03:08:30Z</dcterms:modified>
</cp:coreProperties>
</file>